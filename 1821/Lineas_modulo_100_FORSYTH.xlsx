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eas" sheetId="1" r:id="rId5"/>
    <sheet state="visible" name="Notas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<sst xmlns="http://schemas.openxmlformats.org/spreadsheetml/2006/main" count="161" uniqueCount="89">
  <si>
    <t>n° Linea</t>
  </si>
  <si>
    <t>modulo</t>
  </si>
  <si>
    <t>boyas</t>
  </si>
  <si>
    <t>Grilletes</t>
  </si>
  <si>
    <t>Cabos</t>
  </si>
  <si>
    <t>Pulgueras</t>
  </si>
  <si>
    <t>Cables</t>
  </si>
  <si>
    <t>cadenas</t>
  </si>
  <si>
    <t>pernos anclaje</t>
  </si>
  <si>
    <t>peso muerto</t>
  </si>
  <si>
    <t>anclas</t>
  </si>
  <si>
    <t>guardacabos</t>
  </si>
  <si>
    <t>anillos de distribución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</si>
  <si>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</si>
  <si>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</si>
  <si>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</si>
  <si>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</si>
  <si>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</si>
  <si>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</si>
  <si>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</si>
  <si>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</si>
  <si>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</si>
  <si>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</si>
  <si>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</si>
  <si>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</si>
  <si>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</si>
  <si>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</si>
  <si>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</si>
  <si>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</si>
  <si>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</si>
  <si>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</si>
  <si>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</si>
  <si>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</si>
  <si>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</si>
  <si>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</si>
  <si>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</si>
  <si>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</si>
  <si>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</si>
  <si>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</si>
  <si>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</si>
  <si>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</si>
  <si>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</si>
  <si>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</si>
  <si>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</si>
  <si>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</si>
  <si>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</si>
  <si>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</si>
  <si>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</si>
  <si>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</si>
  <si>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</si>
  <si>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</si>
  <si>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</si>
  <si>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</si>
  <si>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</si>
  <si>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</si>
  <si>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</si>
  <si>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</si>
  <si>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</si>
  <si>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</si>
  <si>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</si>
  <si>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</si>
  <si>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</si>
  <si>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</si>
  <si>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</si>
  <si>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</si>
  <si>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</si>
  <si>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</si>
  <si>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</si>
  <si>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</si>
  <si>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</si>
  <si>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</si>
  <si>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</si>
  <si>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Alcance</t>
  </si>
  <si>
    <t>Total Mod 100</t>
  </si>
  <si>
    <t>Total Mod 200</t>
  </si>
  <si>
    <t>Boyas</t>
  </si>
  <si>
    <t>Unidad</t>
  </si>
  <si>
    <t>paños</t>
  </si>
  <si>
    <t>Cadenas</t>
  </si>
  <si>
    <t>Pernos Anclaje</t>
  </si>
  <si>
    <t>Pesos Muerto</t>
  </si>
  <si>
    <t>Anclas</t>
  </si>
  <si>
    <t>Guardacabos</t>
  </si>
  <si>
    <t>Anillos de distribución</t>
  </si>
  <si>
    <t>Linea mod 100</t>
  </si>
  <si>
    <t>Largo Lineas</t>
  </si>
  <si>
    <t>SUM de Cables</t>
  </si>
  <si>
    <t>SUM de cadenas</t>
  </si>
  <si>
    <t>SUM de Cabos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</si>
</sst>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FFFFF"/>
      <name val="Calibri"/>
    </font>
    <font>
      <color rgb="FF434343"/>
      <name val="Roboto"/>
    </font>
    <font>
      <sz val="11.0"/>
      <color theme="1"/>
      <name val="Calibri"/>
    </font>
    <font>
      <color theme="1"/>
      <name val="Calibri"/>
      <scheme val="minor"/>
    </font>
    <font>
      <b/>
      <color rgb="FF434343"/>
      <name val="Roboto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B1BAE5"/>
        <bgColor rgb="FFB1BAE5"/>
      </patternFill>
    </fill>
  </fills>
  <borders count="3">
    <border/>
    <border>
      <left/>
      <right/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wrapText="1"/>
    </xf>
    <xf borderId="1" fillId="2" fontId="1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 shrinkToFit="0" wrapText="1"/>
    </xf>
    <xf borderId="2" fillId="3" fontId="2" numFmtId="49" xfId="0" applyAlignment="1" applyBorder="1" applyFill="1" applyFont="1" applyNumberFormat="1">
      <alignment horizontal="center" readingOrder="0" shrinkToFit="0" wrapText="0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top" wrapText="1"/>
    </xf>
    <xf borderId="0" fillId="0" fontId="4" numFmtId="0" xfId="0" applyAlignment="1" applyFont="1">
      <alignment horizontal="center" readingOrder="0"/>
    </xf>
    <xf borderId="2" fillId="3" fontId="5" numFmtId="49" xfId="0" applyAlignment="1" applyBorder="1" applyFont="1" applyNumberFormat="1">
      <alignment horizontal="center" readingOrder="0" shrinkToFit="0" wrapText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 shrinkToFit="0" vertical="top" wrapText="1"/>
    </xf>
    <xf borderId="0" fillId="0" fontId="6" numFmtId="0" xfId="0" applyAlignment="1" applyFont="1">
      <alignment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1" xfId="0" applyAlignment="1" applyFont="1" applyNumberFormat="1">
      <alignment horizontal="center" shrinkToFit="0" vertical="top" wrapText="1"/>
    </xf>
    <xf borderId="0" fillId="0" fontId="4" numFmtId="0" xfId="0" applyAlignment="1" applyFont="1">
      <alignment readingOrder="0"/>
    </xf>
    <xf borderId="0" fillId="0" fontId="4" numFmtId="49" xfId="0" applyAlignment="1" applyFont="1" applyNumberFormat="1">
      <alignment horizontal="center" shrinkToFit="0" wrapText="1"/>
    </xf>
    <xf borderId="0" fillId="0" fontId="4" numFmtId="0" xfId="0" applyAlignment="1" applyFont="1">
      <alignment horizontal="center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Linea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60" sheet="Lineas"/>
  </cacheSource>
  <cacheFields>
    <cacheField name="n° Linea" numFmtId="49">
      <sharedItems>
        <s v="C01"/>
        <s v="C02"/>
        <s v="C03"/>
        <s v="C04"/>
        <s v="C05"/>
        <s v="C06"/>
        <s v="C07"/>
        <s v="C08"/>
        <s v="C09"/>
        <s v="C10"/>
        <s v="L11"/>
        <s v="L12"/>
        <s v="L13"/>
        <s v="L14"/>
        <s v="L15"/>
        <s v="L16"/>
        <s v="L17"/>
        <s v="L18"/>
        <s v="L19"/>
        <s v="L20"/>
        <s v="L21"/>
        <s v="L22"/>
        <s v="L23"/>
        <s v="L24"/>
        <s v="L25"/>
        <s v="L26"/>
        <s v="L27"/>
        <s v="L28"/>
        <s v="C29"/>
        <s v="C30"/>
        <s v="C31"/>
        <s v="C32"/>
        <s v="C33"/>
        <s v="C34"/>
        <s v="C35"/>
        <s v="C36"/>
        <s v="C37"/>
        <s v="C38"/>
        <s v="C39"/>
        <s v="C40"/>
        <s v="C41"/>
        <s v="L42"/>
        <s v="L43"/>
        <s v="L44"/>
        <s v="L45"/>
        <s v="L46"/>
        <s v="L47"/>
        <s v="L48"/>
        <s v="L49"/>
        <s v="L50"/>
        <s v="L51"/>
        <s v="L52"/>
        <s v="L53"/>
        <s v="L54"/>
        <s v="L55"/>
        <s v="L56"/>
        <s v="L57"/>
        <s v="L58"/>
        <s v="L59"/>
      </sharedItems>
    </cacheField>
    <cacheField name="modulo" numFmtId="0">
      <sharedItems containsSemiMixedTypes="0" containsString="0" containsNumber="1" containsInteger="1">
        <n v="100.0"/>
      </sharedItems>
    </cacheField>
    <cacheField name="boyas" numFmtId="0">
      <sharedItems containsSemiMixedTypes="0" containsString="0" containsNumber="1" containsInteger="1">
        <n v="2.0"/>
        <n v="0.0"/>
        <n v="3.0"/>
      </sharedItems>
    </cacheField>
    <cacheField name="Grilletes" numFmtId="0">
      <sharedItems containsSemiMixedTypes="0" containsString="0" containsNumber="1" containsInteger="1">
        <n v="26.0"/>
        <n v="28.0"/>
        <n v="18.0"/>
        <n v="22.0"/>
        <n v="32.0"/>
      </sharedItems>
    </cacheField>
    <cacheField name="Cabos" numFmtId="0">
      <sharedItems containsSemiMixedTypes="0" containsString="0" containsNumber="1" containsInteger="1">
        <n v="260.0"/>
        <n v="230.0"/>
        <n v="255.0"/>
        <n v="225.0"/>
        <n v="410.0"/>
        <n v="380.0"/>
        <n v="440.0"/>
        <n v="430.0"/>
        <n v="420.0"/>
        <n v="435.0"/>
        <n v="445.0"/>
        <n v="1020.0"/>
        <n v="1130.0"/>
        <n v="910.0"/>
        <n v="135.0"/>
      </sharedItems>
    </cacheField>
    <cacheField name="Pulgueras" numFmtId="0">
      <sharedItems containsSemiMixedTypes="0" containsString="0" containsNumber="1" containsInteger="1">
        <n v="1.0"/>
        <n v="0.0"/>
      </sharedItems>
    </cacheField>
    <cacheField name="Cables" numFmtId="0">
      <sharedItems containsSemiMixedTypes="0" containsString="0" containsNumber="1" containsInteger="1">
        <n v="0.0"/>
        <n v="30.0"/>
      </sharedItems>
    </cacheField>
    <cacheField name="cadenas" numFmtId="0">
      <sharedItems containsSemiMixedTypes="0" containsString="0" containsNumber="1">
        <n v="456.0"/>
        <n v="511.0"/>
        <n v="552.25"/>
        <n v="165.0"/>
        <n v="110.0"/>
        <n v="137.5"/>
        <n v="82.5"/>
        <n v="220.0"/>
        <n v="192.5"/>
        <n v="160.0"/>
        <n v="202.5"/>
        <n v="151.25"/>
        <n v="123.75"/>
      </sharedItems>
    </cacheField>
    <cacheField name="pernos anclaje" numFmtId="0">
      <sharedItems containsSemiMixedTypes="0" containsString="0" containsNumber="1" containsInteger="1">
        <n v="2.0"/>
        <n v="0.0"/>
      </sharedItems>
    </cacheField>
    <cacheField name="peso muerto" numFmtId="0">
      <sharedItems containsSemiMixedTypes="0" containsString="0" containsNumber="1" containsInteger="1">
        <n v="0.0"/>
        <n v="1.0"/>
      </sharedItems>
    </cacheField>
    <cacheField name="anclas" numFmtId="0">
      <sharedItems containsSemiMixedTypes="0" containsString="0" containsNumber="1" containsInteger="1">
        <n v="0.0"/>
        <n v="1.0"/>
      </sharedItems>
    </cacheField>
    <cacheField name="guardacabos" numFmtId="0">
      <sharedItems containsSemiMixedTypes="0" containsString="0" containsNumber="1" containsInteger="1">
        <n v="0.0"/>
      </sharedItems>
    </cacheField>
    <cacheField name="anillos de distribución" numFmtId="0">
      <sharedItems containsSemiMixedTypes="0" containsString="0" containsNumber="1" containsInteger="1">
        <n v="4.0"/>
        <n v="2.0"/>
        <n v="6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Notas" cacheId="0" dataCaption="" rowGrandTotals="0" compact="0" compactData="0">
  <location ref="A19:D78" firstHeaderRow="0" firstDataRow="2" firstDataCol="0"/>
  <pivotFields>
    <pivotField name="n° Linea" axis="axisRow" compact="0" numFmtId="49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modulo" compact="0" outline="0" multipleItemSelectionAllowed="1" showAll="0">
      <items>
        <item x="0"/>
        <item t="default"/>
      </items>
    </pivotField>
    <pivotField name="boyas" compact="0" outline="0" multipleItemSelectionAllowed="1" showAll="0">
      <items>
        <item x="0"/>
        <item x="1"/>
        <item x="2"/>
        <item t="default"/>
      </items>
    </pivotField>
    <pivotField name="Grillet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bo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ulgueras" compact="0" outline="0" multipleItemSelectionAllowed="1" showAll="0">
      <items>
        <item x="0"/>
        <item x="1"/>
        <item t="default"/>
      </items>
    </pivotField>
    <pivotField name="Cables" dataField="1" compact="0" outline="0" multipleItemSelectionAllowed="1" showAll="0">
      <items>
        <item x="0"/>
        <item x="1"/>
        <item t="default"/>
      </items>
    </pivotField>
    <pivotField name="cadena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ernos anclaje" compact="0" outline="0" multipleItemSelectionAllowed="1" showAll="0">
      <items>
        <item x="0"/>
        <item x="1"/>
        <item t="default"/>
      </items>
    </pivotField>
    <pivotField name="peso muerto" compact="0" outline="0" multipleItemSelectionAllowed="1" showAll="0">
      <items>
        <item x="0"/>
        <item x="1"/>
        <item t="default"/>
      </items>
    </pivotField>
    <pivotField name="anclas" compact="0" outline="0" multipleItemSelectionAllowed="1" showAll="0">
      <items>
        <item x="0"/>
        <item x="1"/>
        <item t="default"/>
      </items>
    </pivotField>
    <pivotField name="guardacabos" compact="0" outline="0" multipleItemSelectionAllowed="1" showAll="0">
      <items>
        <item x="0"/>
        <item t="default"/>
      </items>
    </pivotField>
    <pivotField name="anillos de distribución" compact="0" outline="0" multipleItemSelectionAllowed="1" showAll="0">
      <items>
        <item x="0"/>
        <item x="1"/>
        <item x="2"/>
        <item t="default"/>
      </items>
    </pivotField>
  </pivotFields>
  <rowFields>
    <field x="0"/>
  </rowFields>
  <colFields>
    <field x="-2"/>
  </colFields>
  <dataFields>
    <dataField name="SUM of Cables" fld="6" baseField="0"/>
    <dataField name="SUM of cadenas" fld="7" baseField="0"/>
    <dataField name="SUM of Cabos" fld="4" baseField="0"/>
  </dataFields>
</pivotTableDefinition>
</file>

<file path=xl/tables/table1.xml><?xml version="1.0" encoding="utf-8"?>
<table xmlns="http://schemas.openxmlformats.org/spreadsheetml/2006/main" headerRowCount="0" ref="A2:M60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Line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4" width="12.0"/>
    <col customWidth="1" min="5" max="7" width="14.0"/>
    <col customWidth="1" min="8" max="8" width="12.0"/>
    <col customWidth="1" min="9" max="9" width="16.0"/>
    <col customWidth="1" min="10" max="10" width="13.0"/>
    <col customWidth="1" min="11" max="11" width="12.0"/>
    <col customWidth="1" min="12" max="12" width="16.0"/>
    <col customWidth="1" min="13" max="13" width="25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4" t="s">
        <v>13</v>
      </c>
      <c r="B2" s="5">
        <v>100.0</v>
      </c>
      <c r="C2" s="5">
        <v>2.0</v>
      </c>
      <c r="D2" s="6">
        <v>26.0</v>
      </c>
      <c r="E2" s="6">
        <f>80+180</f>
        <v>260</v>
      </c>
      <c r="F2" s="6">
        <v>1.0</v>
      </c>
      <c r="G2" s="6">
        <v>0.0</v>
      </c>
      <c r="H2" s="6">
        <f>5+10+1+27.5+385+13.75*2</f>
        <v>456</v>
      </c>
      <c r="I2" s="6">
        <v>2.0</v>
      </c>
      <c r="J2" s="7">
        <v>0.0</v>
      </c>
      <c r="K2" s="6">
        <v>0.0</v>
      </c>
      <c r="L2" s="5">
        <v>0.0</v>
      </c>
      <c r="M2" s="5">
        <v>4.0</v>
      </c>
    </row>
    <row r="3">
      <c r="A3" s="4" t="s">
        <v>14</v>
      </c>
      <c r="B3" s="5">
        <v>100.0</v>
      </c>
      <c r="C3" s="5">
        <v>0.0</v>
      </c>
      <c r="D3" s="6">
        <v>28.0</v>
      </c>
      <c r="E3" s="6">
        <f>80+150</f>
        <v>230</v>
      </c>
      <c r="F3" s="6">
        <v>1.0</v>
      </c>
      <c r="G3" s="6">
        <v>0.0</v>
      </c>
      <c r="H3" s="6">
        <f>5+10+1+27.5*2+412.5+13.75*2</f>
        <v>511</v>
      </c>
      <c r="I3" s="6">
        <v>2.0</v>
      </c>
      <c r="J3" s="7">
        <v>0.0</v>
      </c>
      <c r="K3" s="6">
        <v>0.0</v>
      </c>
      <c r="L3" s="5">
        <v>0.0</v>
      </c>
      <c r="M3" s="5">
        <v>4.0</v>
      </c>
    </row>
    <row r="4">
      <c r="A4" s="4" t="s">
        <v>15</v>
      </c>
      <c r="B4" s="5">
        <v>100.0</v>
      </c>
      <c r="C4" s="5">
        <v>0.0</v>
      </c>
      <c r="D4" s="6">
        <v>26.0</v>
      </c>
      <c r="E4" s="6">
        <f>80+180</f>
        <v>260</v>
      </c>
      <c r="F4" s="6">
        <v>1.0</v>
      </c>
      <c r="G4" s="6">
        <v>0.0</v>
      </c>
      <c r="H4" s="6">
        <f>5+10+1+27.5+440+13.75*2</f>
        <v>511</v>
      </c>
      <c r="I4" s="6">
        <v>2.0</v>
      </c>
      <c r="J4" s="7">
        <v>0.0</v>
      </c>
      <c r="K4" s="6">
        <v>0.0</v>
      </c>
      <c r="L4" s="5">
        <v>0.0</v>
      </c>
      <c r="M4" s="5">
        <v>4.0</v>
      </c>
    </row>
    <row r="5">
      <c r="A5" s="4" t="s">
        <v>16</v>
      </c>
      <c r="B5" s="5">
        <v>100.0</v>
      </c>
      <c r="C5" s="5">
        <v>2.0</v>
      </c>
      <c r="D5" s="6">
        <v>26.0</v>
      </c>
      <c r="E5" s="6">
        <f>75+180</f>
        <v>255</v>
      </c>
      <c r="F5" s="6">
        <v>1.0</v>
      </c>
      <c r="G5" s="6">
        <v>0.0</v>
      </c>
      <c r="H5" s="6">
        <f t="shared" ref="H5:H11" si="1">5+10+1+27.5+481.25+13.75*2</f>
        <v>552.25</v>
      </c>
      <c r="I5" s="6">
        <v>2.0</v>
      </c>
      <c r="J5" s="7">
        <v>0.0</v>
      </c>
      <c r="K5" s="6">
        <v>0.0</v>
      </c>
      <c r="L5" s="5">
        <v>0.0</v>
      </c>
      <c r="M5" s="5">
        <v>4.0</v>
      </c>
    </row>
    <row r="6">
      <c r="A6" s="4" t="s">
        <v>17</v>
      </c>
      <c r="B6" s="5">
        <v>100.0</v>
      </c>
      <c r="C6" s="5">
        <v>0.0</v>
      </c>
      <c r="D6" s="6">
        <v>26.0</v>
      </c>
      <c r="E6" s="6">
        <f>75+150</f>
        <v>225</v>
      </c>
      <c r="F6" s="6">
        <v>1.0</v>
      </c>
      <c r="G6" s="6">
        <v>0.0</v>
      </c>
      <c r="H6" s="6">
        <f t="shared" si="1"/>
        <v>552.25</v>
      </c>
      <c r="I6" s="6">
        <v>2.0</v>
      </c>
      <c r="J6" s="7">
        <v>0.0</v>
      </c>
      <c r="K6" s="6">
        <v>0.0</v>
      </c>
      <c r="L6" s="5">
        <v>0.0</v>
      </c>
      <c r="M6" s="5">
        <v>4.0</v>
      </c>
    </row>
    <row r="7">
      <c r="A7" s="4" t="s">
        <v>18</v>
      </c>
      <c r="B7" s="5">
        <v>100.0</v>
      </c>
      <c r="C7" s="5">
        <v>0.0</v>
      </c>
      <c r="D7" s="6">
        <v>26.0</v>
      </c>
      <c r="E7" s="6">
        <f>75+180</f>
        <v>255</v>
      </c>
      <c r="F7" s="6">
        <v>1.0</v>
      </c>
      <c r="G7" s="6">
        <v>0.0</v>
      </c>
      <c r="H7" s="6">
        <f t="shared" si="1"/>
        <v>552.25</v>
      </c>
      <c r="I7" s="6">
        <v>2.0</v>
      </c>
      <c r="J7" s="7">
        <v>0.0</v>
      </c>
      <c r="K7" s="6">
        <v>0.0</v>
      </c>
      <c r="L7" s="5">
        <v>0.0</v>
      </c>
      <c r="M7" s="5">
        <v>4.0</v>
      </c>
    </row>
    <row r="8">
      <c r="A8" s="4" t="s">
        <v>19</v>
      </c>
      <c r="B8" s="5">
        <v>100.0</v>
      </c>
      <c r="C8" s="5">
        <v>0.0</v>
      </c>
      <c r="D8" s="6">
        <v>26.0</v>
      </c>
      <c r="E8" s="6">
        <f>80+180</f>
        <v>260</v>
      </c>
      <c r="F8" s="6">
        <v>1.0</v>
      </c>
      <c r="G8" s="6">
        <v>0.0</v>
      </c>
      <c r="H8" s="6">
        <f t="shared" si="1"/>
        <v>552.25</v>
      </c>
      <c r="I8" s="6">
        <v>2.0</v>
      </c>
      <c r="J8" s="7">
        <v>0.0</v>
      </c>
      <c r="K8" s="6">
        <v>0.0</v>
      </c>
      <c r="L8" s="5">
        <v>0.0</v>
      </c>
      <c r="M8" s="5">
        <v>4.0</v>
      </c>
    </row>
    <row r="9">
      <c r="A9" s="4" t="s">
        <v>20</v>
      </c>
      <c r="B9" s="5">
        <v>100.0</v>
      </c>
      <c r="C9" s="5">
        <v>2.0</v>
      </c>
      <c r="D9" s="6">
        <v>26.0</v>
      </c>
      <c r="E9" s="6">
        <f>80+330</f>
        <v>410</v>
      </c>
      <c r="F9" s="6">
        <v>1.0</v>
      </c>
      <c r="G9" s="6">
        <v>0.0</v>
      </c>
      <c r="H9" s="6">
        <f t="shared" si="1"/>
        <v>552.25</v>
      </c>
      <c r="I9" s="6">
        <v>2.0</v>
      </c>
      <c r="J9" s="7">
        <v>0.0</v>
      </c>
      <c r="K9" s="6">
        <v>0.0</v>
      </c>
      <c r="L9" s="5">
        <v>0.0</v>
      </c>
      <c r="M9" s="5">
        <v>4.0</v>
      </c>
    </row>
    <row r="10">
      <c r="A10" s="4" t="s">
        <v>21</v>
      </c>
      <c r="B10" s="5">
        <v>100.0</v>
      </c>
      <c r="C10" s="5">
        <v>0.0</v>
      </c>
      <c r="D10" s="6">
        <v>26.0</v>
      </c>
      <c r="E10" s="6">
        <f>80+300</f>
        <v>380</v>
      </c>
      <c r="F10" s="6">
        <v>1.0</v>
      </c>
      <c r="G10" s="6">
        <v>0.0</v>
      </c>
      <c r="H10" s="6">
        <f t="shared" si="1"/>
        <v>552.25</v>
      </c>
      <c r="I10" s="6">
        <v>2.0</v>
      </c>
      <c r="J10" s="7">
        <v>0.0</v>
      </c>
      <c r="K10" s="6">
        <v>0.0</v>
      </c>
      <c r="L10" s="5">
        <v>0.0</v>
      </c>
      <c r="M10" s="5">
        <v>4.0</v>
      </c>
    </row>
    <row r="11" ht="15.75" customHeight="1">
      <c r="A11" s="8" t="s">
        <v>22</v>
      </c>
      <c r="B11" s="5">
        <v>100.0</v>
      </c>
      <c r="C11" s="5">
        <v>0.0</v>
      </c>
      <c r="D11" s="6">
        <v>26.0</v>
      </c>
      <c r="E11" s="6">
        <f>80+330</f>
        <v>410</v>
      </c>
      <c r="F11" s="6">
        <v>1.0</v>
      </c>
      <c r="G11" s="6">
        <v>0.0</v>
      </c>
      <c r="H11" s="6">
        <f t="shared" si="1"/>
        <v>552.25</v>
      </c>
      <c r="I11" s="6">
        <v>2.0</v>
      </c>
      <c r="J11" s="7">
        <v>0.0</v>
      </c>
      <c r="K11" s="6">
        <v>0.0</v>
      </c>
      <c r="L11" s="5">
        <v>0.0</v>
      </c>
      <c r="M11" s="5">
        <v>4.0</v>
      </c>
    </row>
    <row r="12" ht="15.75" customHeight="1">
      <c r="A12" s="8" t="s">
        <v>23</v>
      </c>
      <c r="B12" s="5">
        <v>100.0</v>
      </c>
      <c r="C12" s="5">
        <v>2.0</v>
      </c>
      <c r="D12" s="6">
        <v>18.0</v>
      </c>
      <c r="E12" s="9">
        <v>440.0</v>
      </c>
      <c r="F12" s="9">
        <v>0.0</v>
      </c>
      <c r="G12" s="9">
        <v>30.0</v>
      </c>
      <c r="H12" s="10">
        <f>165</f>
        <v>165</v>
      </c>
      <c r="I12" s="9">
        <v>0.0</v>
      </c>
      <c r="J12" s="9">
        <v>0.0</v>
      </c>
      <c r="K12" s="9">
        <v>1.0</v>
      </c>
      <c r="L12" s="9">
        <v>0.0</v>
      </c>
      <c r="M12" s="9">
        <v>2.0</v>
      </c>
    </row>
    <row r="13" ht="15.75" customHeight="1">
      <c r="A13" s="4" t="s">
        <v>24</v>
      </c>
      <c r="B13" s="5">
        <v>100.0</v>
      </c>
      <c r="C13" s="5">
        <v>0.0</v>
      </c>
      <c r="D13" s="6">
        <v>18.0</v>
      </c>
      <c r="E13" s="9">
        <v>430.0</v>
      </c>
      <c r="F13" s="9">
        <v>0.0</v>
      </c>
      <c r="G13" s="9">
        <v>30.0</v>
      </c>
      <c r="H13" s="9">
        <v>110.0</v>
      </c>
      <c r="I13" s="9">
        <v>0.0</v>
      </c>
      <c r="J13" s="9">
        <v>0.0</v>
      </c>
      <c r="K13" s="9">
        <v>1.0</v>
      </c>
      <c r="L13" s="9">
        <v>0.0</v>
      </c>
      <c r="M13" s="9">
        <v>2.0</v>
      </c>
    </row>
    <row r="14" ht="15.75" customHeight="1">
      <c r="A14" s="4" t="s">
        <v>25</v>
      </c>
      <c r="B14" s="5">
        <v>100.0</v>
      </c>
      <c r="C14" s="5">
        <v>0.0</v>
      </c>
      <c r="D14" s="6">
        <v>18.0</v>
      </c>
      <c r="E14" s="6">
        <v>440.0</v>
      </c>
      <c r="F14" s="9">
        <v>0.0</v>
      </c>
      <c r="G14" s="9">
        <v>30.0</v>
      </c>
      <c r="H14" s="6">
        <v>137.5</v>
      </c>
      <c r="I14" s="9">
        <v>0.0</v>
      </c>
      <c r="J14" s="9">
        <v>0.0</v>
      </c>
      <c r="K14" s="9">
        <v>1.0</v>
      </c>
      <c r="L14" s="9">
        <v>0.0</v>
      </c>
      <c r="M14" s="9">
        <v>2.0</v>
      </c>
    </row>
    <row r="15" ht="15.75" customHeight="1">
      <c r="A15" s="8" t="s">
        <v>26</v>
      </c>
      <c r="B15" s="5">
        <v>100.0</v>
      </c>
      <c r="C15" s="5">
        <v>2.0</v>
      </c>
      <c r="D15" s="6">
        <v>18.0</v>
      </c>
      <c r="E15" s="9">
        <v>420.0</v>
      </c>
      <c r="F15" s="9">
        <v>0.0</v>
      </c>
      <c r="G15" s="9">
        <v>30.0</v>
      </c>
      <c r="H15" s="10">
        <f>165</f>
        <v>165</v>
      </c>
      <c r="I15" s="9">
        <v>0.0</v>
      </c>
      <c r="J15" s="9">
        <v>0.0</v>
      </c>
      <c r="K15" s="9">
        <v>1.0</v>
      </c>
      <c r="L15" s="9">
        <v>0.0</v>
      </c>
      <c r="M15" s="9">
        <v>2.0</v>
      </c>
    </row>
    <row r="16" ht="15.75" customHeight="1">
      <c r="A16" s="4" t="s">
        <v>27</v>
      </c>
      <c r="B16" s="5">
        <v>100.0</v>
      </c>
      <c r="C16" s="5">
        <v>0.0</v>
      </c>
      <c r="D16" s="6">
        <v>18.0</v>
      </c>
      <c r="E16" s="6">
        <v>435.0</v>
      </c>
      <c r="F16" s="9">
        <v>0.0</v>
      </c>
      <c r="G16" s="9">
        <v>30.0</v>
      </c>
      <c r="H16" s="9">
        <v>110.0</v>
      </c>
      <c r="I16" s="9">
        <v>0.0</v>
      </c>
      <c r="J16" s="9">
        <v>0.0</v>
      </c>
      <c r="K16" s="9">
        <v>1.0</v>
      </c>
      <c r="L16" s="9">
        <v>0.0</v>
      </c>
      <c r="M16" s="9">
        <v>2.0</v>
      </c>
    </row>
    <row r="17" ht="15.75" customHeight="1">
      <c r="A17" s="4" t="s">
        <v>28</v>
      </c>
      <c r="B17" s="5">
        <v>100.0</v>
      </c>
      <c r="C17" s="5">
        <v>0.0</v>
      </c>
      <c r="D17" s="6">
        <v>18.0</v>
      </c>
      <c r="E17" s="6">
        <v>440.0</v>
      </c>
      <c r="F17" s="9">
        <v>0.0</v>
      </c>
      <c r="G17" s="9">
        <v>30.0</v>
      </c>
      <c r="H17" s="6">
        <v>137.5</v>
      </c>
      <c r="I17" s="9">
        <v>0.0</v>
      </c>
      <c r="J17" s="9">
        <v>0.0</v>
      </c>
      <c r="K17" s="9">
        <v>1.0</v>
      </c>
      <c r="L17" s="9">
        <v>0.0</v>
      </c>
      <c r="M17" s="9">
        <v>2.0</v>
      </c>
    </row>
    <row r="18" ht="15.75" customHeight="1">
      <c r="A18" s="8" t="s">
        <v>29</v>
      </c>
      <c r="B18" s="5">
        <v>100.0</v>
      </c>
      <c r="C18" s="5">
        <v>2.0</v>
      </c>
      <c r="D18" s="6">
        <v>18.0</v>
      </c>
      <c r="E18" s="9">
        <v>440.0</v>
      </c>
      <c r="F18" s="9">
        <v>0.0</v>
      </c>
      <c r="G18" s="9">
        <v>30.0</v>
      </c>
      <c r="H18" s="10">
        <f>165</f>
        <v>165</v>
      </c>
      <c r="I18" s="9">
        <v>0.0</v>
      </c>
      <c r="J18" s="9">
        <v>0.0</v>
      </c>
      <c r="K18" s="9">
        <v>1.0</v>
      </c>
      <c r="L18" s="9">
        <v>0.0</v>
      </c>
      <c r="M18" s="9">
        <v>2.0</v>
      </c>
    </row>
    <row r="19" ht="15.75" customHeight="1">
      <c r="A19" s="4" t="s">
        <v>30</v>
      </c>
      <c r="B19" s="5">
        <v>100.0</v>
      </c>
      <c r="C19" s="5">
        <v>0.0</v>
      </c>
      <c r="D19" s="6">
        <v>18.0</v>
      </c>
      <c r="E19" s="6">
        <v>430.0</v>
      </c>
      <c r="F19" s="9">
        <v>0.0</v>
      </c>
      <c r="G19" s="9">
        <v>30.0</v>
      </c>
      <c r="H19" s="9">
        <v>110.0</v>
      </c>
      <c r="I19" s="9">
        <v>0.0</v>
      </c>
      <c r="J19" s="9">
        <v>0.0</v>
      </c>
      <c r="K19" s="9">
        <v>1.0</v>
      </c>
      <c r="L19" s="9">
        <v>0.0</v>
      </c>
      <c r="M19" s="9">
        <v>2.0</v>
      </c>
    </row>
    <row r="20" ht="15.75" customHeight="1">
      <c r="A20" s="4" t="s">
        <v>31</v>
      </c>
      <c r="B20" s="5">
        <v>100.0</v>
      </c>
      <c r="C20" s="5">
        <v>0.0</v>
      </c>
      <c r="D20" s="6">
        <v>18.0</v>
      </c>
      <c r="E20" s="6">
        <v>435.0</v>
      </c>
      <c r="F20" s="9">
        <v>0.0</v>
      </c>
      <c r="G20" s="9">
        <v>30.0</v>
      </c>
      <c r="H20" s="6">
        <v>137.5</v>
      </c>
      <c r="I20" s="9">
        <v>0.0</v>
      </c>
      <c r="J20" s="9">
        <v>0.0</v>
      </c>
      <c r="K20" s="9">
        <v>1.0</v>
      </c>
      <c r="L20" s="9">
        <v>0.0</v>
      </c>
      <c r="M20" s="9">
        <v>2.0</v>
      </c>
    </row>
    <row r="21" ht="15.75" customHeight="1">
      <c r="A21" s="8" t="s">
        <v>32</v>
      </c>
      <c r="B21" s="5">
        <v>100.0</v>
      </c>
      <c r="C21" s="5">
        <v>2.0</v>
      </c>
      <c r="D21" s="6">
        <v>18.0</v>
      </c>
      <c r="E21" s="9">
        <v>440.0</v>
      </c>
      <c r="F21" s="9">
        <v>0.0</v>
      </c>
      <c r="G21" s="9">
        <v>30.0</v>
      </c>
      <c r="H21" s="10">
        <f>165</f>
        <v>165</v>
      </c>
      <c r="I21" s="9">
        <v>0.0</v>
      </c>
      <c r="J21" s="9">
        <v>0.0</v>
      </c>
      <c r="K21" s="9">
        <v>1.0</v>
      </c>
      <c r="L21" s="9">
        <v>0.0</v>
      </c>
      <c r="M21" s="9">
        <v>2.0</v>
      </c>
    </row>
    <row r="22" ht="15.75" customHeight="1">
      <c r="A22" s="4" t="s">
        <v>33</v>
      </c>
      <c r="B22" s="5">
        <v>100.0</v>
      </c>
      <c r="C22" s="5">
        <v>0.0</v>
      </c>
      <c r="D22" s="6">
        <v>18.0</v>
      </c>
      <c r="E22" s="6">
        <v>430.0</v>
      </c>
      <c r="F22" s="9">
        <v>0.0</v>
      </c>
      <c r="G22" s="9">
        <v>30.0</v>
      </c>
      <c r="H22" s="9">
        <v>110.0</v>
      </c>
      <c r="I22" s="9">
        <v>0.0</v>
      </c>
      <c r="J22" s="9">
        <v>0.0</v>
      </c>
      <c r="K22" s="9">
        <v>1.0</v>
      </c>
      <c r="L22" s="9">
        <v>0.0</v>
      </c>
      <c r="M22" s="9">
        <v>2.0</v>
      </c>
    </row>
    <row r="23" ht="15.75" customHeight="1">
      <c r="A23" s="4" t="s">
        <v>34</v>
      </c>
      <c r="B23" s="5">
        <v>100.0</v>
      </c>
      <c r="C23" s="5">
        <v>0.0</v>
      </c>
      <c r="D23" s="6">
        <v>18.0</v>
      </c>
      <c r="E23" s="6">
        <v>435.0</v>
      </c>
      <c r="F23" s="9">
        <v>0.0</v>
      </c>
      <c r="G23" s="9">
        <v>30.0</v>
      </c>
      <c r="H23" s="6">
        <v>137.5</v>
      </c>
      <c r="I23" s="9">
        <v>0.0</v>
      </c>
      <c r="J23" s="9">
        <v>0.0</v>
      </c>
      <c r="K23" s="9">
        <v>1.0</v>
      </c>
      <c r="L23" s="9">
        <v>0.0</v>
      </c>
      <c r="M23" s="9">
        <v>2.0</v>
      </c>
    </row>
    <row r="24" ht="15.75" customHeight="1">
      <c r="A24" s="8" t="s">
        <v>35</v>
      </c>
      <c r="B24" s="5">
        <v>100.0</v>
      </c>
      <c r="C24" s="5">
        <v>2.0</v>
      </c>
      <c r="D24" s="6">
        <v>18.0</v>
      </c>
      <c r="E24" s="9">
        <v>440.0</v>
      </c>
      <c r="F24" s="9">
        <v>0.0</v>
      </c>
      <c r="G24" s="9">
        <v>30.0</v>
      </c>
      <c r="H24" s="10">
        <f>165</f>
        <v>165</v>
      </c>
      <c r="I24" s="9">
        <v>0.0</v>
      </c>
      <c r="J24" s="9">
        <v>0.0</v>
      </c>
      <c r="K24" s="9">
        <v>1.0</v>
      </c>
      <c r="L24" s="9">
        <v>0.0</v>
      </c>
      <c r="M24" s="9">
        <v>2.0</v>
      </c>
    </row>
    <row r="25" ht="15.75" customHeight="1">
      <c r="A25" s="4" t="s">
        <v>36</v>
      </c>
      <c r="B25" s="5">
        <v>100.0</v>
      </c>
      <c r="C25" s="5">
        <v>0.0</v>
      </c>
      <c r="D25" s="6">
        <v>18.0</v>
      </c>
      <c r="E25" s="6">
        <v>430.0</v>
      </c>
      <c r="F25" s="9">
        <v>0.0</v>
      </c>
      <c r="G25" s="9">
        <v>30.0</v>
      </c>
      <c r="H25" s="9">
        <v>110.0</v>
      </c>
      <c r="I25" s="9">
        <v>0.0</v>
      </c>
      <c r="J25" s="9">
        <v>0.0</v>
      </c>
      <c r="K25" s="9">
        <v>1.0</v>
      </c>
      <c r="L25" s="9">
        <v>0.0</v>
      </c>
      <c r="M25" s="9">
        <v>2.0</v>
      </c>
    </row>
    <row r="26" ht="15.75" customHeight="1">
      <c r="A26" s="4" t="s">
        <v>37</v>
      </c>
      <c r="B26" s="5">
        <v>100.0</v>
      </c>
      <c r="C26" s="5">
        <v>0.0</v>
      </c>
      <c r="D26" s="6">
        <v>18.0</v>
      </c>
      <c r="E26" s="6">
        <v>435.0</v>
      </c>
      <c r="F26" s="9">
        <v>0.0</v>
      </c>
      <c r="G26" s="9">
        <v>30.0</v>
      </c>
      <c r="H26" s="6">
        <v>137.5</v>
      </c>
      <c r="I26" s="9">
        <v>0.0</v>
      </c>
      <c r="J26" s="9">
        <v>0.0</v>
      </c>
      <c r="K26" s="9">
        <v>1.0</v>
      </c>
      <c r="L26" s="9">
        <v>0.0</v>
      </c>
      <c r="M26" s="9">
        <v>2.0</v>
      </c>
    </row>
    <row r="27" ht="15.75" customHeight="1">
      <c r="A27" s="8" t="s">
        <v>38</v>
      </c>
      <c r="B27" s="5">
        <v>100.0</v>
      </c>
      <c r="C27" s="5">
        <v>2.0</v>
      </c>
      <c r="D27" s="6">
        <v>18.0</v>
      </c>
      <c r="E27" s="9">
        <v>445.0</v>
      </c>
      <c r="F27" s="9">
        <v>0.0</v>
      </c>
      <c r="G27" s="9">
        <v>30.0</v>
      </c>
      <c r="H27" s="10">
        <f>165</f>
        <v>165</v>
      </c>
      <c r="I27" s="9">
        <v>0.0</v>
      </c>
      <c r="J27" s="9">
        <v>0.0</v>
      </c>
      <c r="K27" s="9">
        <v>1.0</v>
      </c>
      <c r="L27" s="9">
        <v>0.0</v>
      </c>
      <c r="M27" s="9">
        <v>2.0</v>
      </c>
    </row>
    <row r="28" ht="15.75" customHeight="1">
      <c r="A28" s="8" t="s">
        <v>39</v>
      </c>
      <c r="B28" s="5">
        <v>100.0</v>
      </c>
      <c r="C28" s="5">
        <v>0.0</v>
      </c>
      <c r="D28" s="6">
        <v>18.0</v>
      </c>
      <c r="E28" s="6">
        <v>435.0</v>
      </c>
      <c r="F28" s="9">
        <v>0.0</v>
      </c>
      <c r="G28" s="9">
        <v>30.0</v>
      </c>
      <c r="H28" s="9">
        <v>110.0</v>
      </c>
      <c r="I28" s="9">
        <v>0.0</v>
      </c>
      <c r="J28" s="9">
        <v>0.0</v>
      </c>
      <c r="K28" s="9">
        <v>1.0</v>
      </c>
      <c r="L28" s="9">
        <v>0.0</v>
      </c>
      <c r="M28" s="9">
        <v>2.0</v>
      </c>
    </row>
    <row r="29" ht="15.75" customHeight="1">
      <c r="A29" s="8" t="s">
        <v>40</v>
      </c>
      <c r="B29" s="5">
        <v>100.0</v>
      </c>
      <c r="C29" s="5">
        <v>0.0</v>
      </c>
      <c r="D29" s="6">
        <v>18.0</v>
      </c>
      <c r="E29" s="6">
        <v>440.0</v>
      </c>
      <c r="F29" s="9">
        <v>0.0</v>
      </c>
      <c r="G29" s="9">
        <v>30.0</v>
      </c>
      <c r="H29" s="6">
        <v>137.5</v>
      </c>
      <c r="I29" s="9">
        <v>0.0</v>
      </c>
      <c r="J29" s="9">
        <v>0.0</v>
      </c>
      <c r="K29" s="9">
        <v>1.0</v>
      </c>
      <c r="L29" s="9">
        <v>0.0</v>
      </c>
      <c r="M29" s="9">
        <v>2.0</v>
      </c>
    </row>
    <row r="30" ht="15.75" customHeight="1">
      <c r="A30" s="8" t="s">
        <v>41</v>
      </c>
      <c r="B30" s="5">
        <v>100.0</v>
      </c>
      <c r="C30" s="5">
        <v>3.0</v>
      </c>
      <c r="D30" s="6">
        <v>22.0</v>
      </c>
      <c r="E30" s="6">
        <v>1020.0</v>
      </c>
      <c r="F30" s="9">
        <v>0.0</v>
      </c>
      <c r="G30" s="6">
        <v>0.0</v>
      </c>
      <c r="H30" s="6">
        <v>82.5</v>
      </c>
      <c r="I30" s="9">
        <v>0.0</v>
      </c>
      <c r="J30" s="9">
        <v>0.0</v>
      </c>
      <c r="K30" s="9">
        <v>1.0</v>
      </c>
      <c r="L30" s="9">
        <v>0.0</v>
      </c>
      <c r="M30" s="9">
        <v>2.0</v>
      </c>
    </row>
    <row r="31" ht="15.75" customHeight="1">
      <c r="A31" s="8" t="s">
        <v>42</v>
      </c>
      <c r="B31" s="5">
        <v>100.0</v>
      </c>
      <c r="C31" s="5">
        <v>0.0</v>
      </c>
      <c r="D31" s="6">
        <v>22.0</v>
      </c>
      <c r="E31" s="6">
        <v>1130.0</v>
      </c>
      <c r="F31" s="9">
        <v>0.0</v>
      </c>
      <c r="G31" s="6">
        <v>0.0</v>
      </c>
      <c r="H31" s="6">
        <v>82.5</v>
      </c>
      <c r="I31" s="9">
        <v>0.0</v>
      </c>
      <c r="J31" s="9">
        <v>0.0</v>
      </c>
      <c r="K31" s="9">
        <v>1.0</v>
      </c>
      <c r="L31" s="9">
        <v>0.0</v>
      </c>
      <c r="M31" s="9">
        <v>2.0</v>
      </c>
    </row>
    <row r="32" ht="15.75" customHeight="1">
      <c r="A32" s="8" t="s">
        <v>43</v>
      </c>
      <c r="B32" s="5">
        <v>100.0</v>
      </c>
      <c r="C32" s="5">
        <v>0.0</v>
      </c>
      <c r="D32" s="6">
        <v>22.0</v>
      </c>
      <c r="E32" s="6">
        <v>910.0</v>
      </c>
      <c r="F32" s="9">
        <v>0.0</v>
      </c>
      <c r="G32" s="6">
        <v>0.0</v>
      </c>
      <c r="H32" s="6">
        <v>82.5</v>
      </c>
      <c r="I32" s="9">
        <v>0.0</v>
      </c>
      <c r="J32" s="9">
        <v>0.0</v>
      </c>
      <c r="K32" s="9">
        <v>1.0</v>
      </c>
      <c r="L32" s="9">
        <v>0.0</v>
      </c>
      <c r="M32" s="9">
        <v>2.0</v>
      </c>
    </row>
    <row r="33" ht="15.75" customHeight="1">
      <c r="A33" s="8" t="s">
        <v>44</v>
      </c>
      <c r="B33" s="5">
        <v>100.0</v>
      </c>
      <c r="C33" s="5">
        <v>0.0</v>
      </c>
      <c r="D33" s="6">
        <v>22.0</v>
      </c>
      <c r="E33" s="6">
        <v>1020.0</v>
      </c>
      <c r="F33" s="9">
        <v>0.0</v>
      </c>
      <c r="G33" s="6">
        <v>0.0</v>
      </c>
      <c r="H33" s="6">
        <v>82.5</v>
      </c>
      <c r="I33" s="9">
        <v>0.0</v>
      </c>
      <c r="J33" s="9">
        <v>0.0</v>
      </c>
      <c r="K33" s="9">
        <v>1.0</v>
      </c>
      <c r="L33" s="9">
        <v>0.0</v>
      </c>
      <c r="M33" s="9">
        <v>2.0</v>
      </c>
    </row>
    <row r="34" ht="15.75" customHeight="1">
      <c r="A34" s="8" t="s">
        <v>45</v>
      </c>
      <c r="B34" s="5">
        <v>100.0</v>
      </c>
      <c r="C34" s="5">
        <v>3.0</v>
      </c>
      <c r="D34" s="6">
        <v>22.0</v>
      </c>
      <c r="E34" s="6">
        <v>1020.0</v>
      </c>
      <c r="F34" s="9">
        <v>0.0</v>
      </c>
      <c r="G34" s="6">
        <v>0.0</v>
      </c>
      <c r="H34" s="6">
        <v>82.5</v>
      </c>
      <c r="I34" s="9">
        <v>0.0</v>
      </c>
      <c r="J34" s="9">
        <v>0.0</v>
      </c>
      <c r="K34" s="9">
        <v>1.0</v>
      </c>
      <c r="L34" s="9">
        <v>0.0</v>
      </c>
      <c r="M34" s="9">
        <v>2.0</v>
      </c>
    </row>
    <row r="35" ht="15.75" customHeight="1">
      <c r="A35" s="8" t="s">
        <v>46</v>
      </c>
      <c r="B35" s="5">
        <v>100.0</v>
      </c>
      <c r="C35" s="5">
        <v>0.0</v>
      </c>
      <c r="D35" s="6">
        <v>22.0</v>
      </c>
      <c r="E35" s="6">
        <v>910.0</v>
      </c>
      <c r="F35" s="9">
        <v>0.0</v>
      </c>
      <c r="G35" s="6">
        <v>0.0</v>
      </c>
      <c r="H35" s="6">
        <v>82.5</v>
      </c>
      <c r="I35" s="9">
        <v>0.0</v>
      </c>
      <c r="J35" s="9">
        <v>0.0</v>
      </c>
      <c r="K35" s="9">
        <v>1.0</v>
      </c>
      <c r="L35" s="9">
        <v>0.0</v>
      </c>
      <c r="M35" s="9">
        <v>2.0</v>
      </c>
    </row>
    <row r="36" ht="15.75" customHeight="1">
      <c r="A36" s="8" t="s">
        <v>47</v>
      </c>
      <c r="B36" s="5">
        <v>100.0</v>
      </c>
      <c r="C36" s="5">
        <v>0.0</v>
      </c>
      <c r="D36" s="6">
        <v>22.0</v>
      </c>
      <c r="E36" s="6">
        <v>1020.0</v>
      </c>
      <c r="F36" s="9">
        <v>0.0</v>
      </c>
      <c r="G36" s="6">
        <v>0.0</v>
      </c>
      <c r="H36" s="6">
        <v>82.5</v>
      </c>
      <c r="I36" s="9">
        <v>0.0</v>
      </c>
      <c r="J36" s="9">
        <v>0.0</v>
      </c>
      <c r="K36" s="9">
        <v>1.0</v>
      </c>
      <c r="L36" s="9">
        <v>0.0</v>
      </c>
      <c r="M36" s="9">
        <v>2.0</v>
      </c>
    </row>
    <row r="37" ht="15.75" customHeight="1">
      <c r="A37" s="8" t="s">
        <v>48</v>
      </c>
      <c r="B37" s="5">
        <v>100.0</v>
      </c>
      <c r="C37" s="5">
        <v>0.0</v>
      </c>
      <c r="D37" s="6">
        <v>22.0</v>
      </c>
      <c r="E37" s="6">
        <v>910.0</v>
      </c>
      <c r="F37" s="9">
        <v>0.0</v>
      </c>
      <c r="G37" s="6">
        <v>0.0</v>
      </c>
      <c r="H37" s="6">
        <v>82.5</v>
      </c>
      <c r="I37" s="9">
        <v>0.0</v>
      </c>
      <c r="J37" s="9">
        <v>0.0</v>
      </c>
      <c r="K37" s="9">
        <v>1.0</v>
      </c>
      <c r="L37" s="9">
        <v>0.0</v>
      </c>
      <c r="M37" s="9">
        <v>2.0</v>
      </c>
    </row>
    <row r="38" ht="15.75" customHeight="1">
      <c r="A38" s="8" t="s">
        <v>49</v>
      </c>
      <c r="B38" s="5">
        <v>100.0</v>
      </c>
      <c r="C38" s="5">
        <v>0.0</v>
      </c>
      <c r="D38" s="6">
        <v>22.0</v>
      </c>
      <c r="E38" s="6">
        <v>1020.0</v>
      </c>
      <c r="F38" s="9">
        <v>0.0</v>
      </c>
      <c r="G38" s="6">
        <v>0.0</v>
      </c>
      <c r="H38" s="6">
        <v>82.5</v>
      </c>
      <c r="I38" s="9">
        <v>0.0</v>
      </c>
      <c r="J38" s="9">
        <v>0.0</v>
      </c>
      <c r="K38" s="9">
        <v>1.0</v>
      </c>
      <c r="L38" s="9">
        <v>0.0</v>
      </c>
      <c r="M38" s="9">
        <v>2.0</v>
      </c>
    </row>
    <row r="39" ht="15.75" customHeight="1">
      <c r="A39" s="8" t="s">
        <v>50</v>
      </c>
      <c r="B39" s="5">
        <v>100.0</v>
      </c>
      <c r="C39" s="5">
        <v>3.0</v>
      </c>
      <c r="D39" s="6">
        <v>22.0</v>
      </c>
      <c r="E39" s="6">
        <v>1020.0</v>
      </c>
      <c r="F39" s="9">
        <v>0.0</v>
      </c>
      <c r="G39" s="6">
        <v>0.0</v>
      </c>
      <c r="H39" s="6">
        <v>82.5</v>
      </c>
      <c r="I39" s="9">
        <v>0.0</v>
      </c>
      <c r="J39" s="9">
        <v>0.0</v>
      </c>
      <c r="K39" s="9">
        <v>1.0</v>
      </c>
      <c r="L39" s="9">
        <v>0.0</v>
      </c>
      <c r="M39" s="9">
        <v>2.0</v>
      </c>
    </row>
    <row r="40" ht="15.75" customHeight="1">
      <c r="A40" s="8" t="s">
        <v>51</v>
      </c>
      <c r="B40" s="5">
        <v>100.0</v>
      </c>
      <c r="C40" s="5">
        <v>0.0</v>
      </c>
      <c r="D40" s="6">
        <v>22.0</v>
      </c>
      <c r="E40" s="6">
        <v>910.0</v>
      </c>
      <c r="F40" s="9">
        <v>0.0</v>
      </c>
      <c r="G40" s="6">
        <v>0.0</v>
      </c>
      <c r="H40" s="6">
        <v>82.5</v>
      </c>
      <c r="I40" s="9">
        <v>0.0</v>
      </c>
      <c r="J40" s="9">
        <v>0.0</v>
      </c>
      <c r="K40" s="9">
        <v>1.0</v>
      </c>
      <c r="L40" s="9">
        <v>0.0</v>
      </c>
      <c r="M40" s="9">
        <v>2.0</v>
      </c>
    </row>
    <row r="41" ht="15.75" customHeight="1">
      <c r="A41" s="8" t="s">
        <v>52</v>
      </c>
      <c r="B41" s="5">
        <v>100.0</v>
      </c>
      <c r="C41" s="5">
        <v>0.0</v>
      </c>
      <c r="D41" s="6">
        <v>22.0</v>
      </c>
      <c r="E41" s="6">
        <v>910.0</v>
      </c>
      <c r="F41" s="9">
        <v>0.0</v>
      </c>
      <c r="G41" s="6">
        <v>0.0</v>
      </c>
      <c r="H41" s="6">
        <v>82.5</v>
      </c>
      <c r="I41" s="9">
        <v>0.0</v>
      </c>
      <c r="J41" s="9">
        <v>0.0</v>
      </c>
      <c r="K41" s="9">
        <v>1.0</v>
      </c>
      <c r="L41" s="9">
        <v>0.0</v>
      </c>
      <c r="M41" s="9">
        <v>2.0</v>
      </c>
    </row>
    <row r="42" ht="15.75" customHeight="1">
      <c r="A42" s="8" t="s">
        <v>53</v>
      </c>
      <c r="B42" s="5">
        <v>100.0</v>
      </c>
      <c r="C42" s="5">
        <v>0.0</v>
      </c>
      <c r="D42" s="6">
        <v>22.0</v>
      </c>
      <c r="E42" s="6">
        <v>1020.0</v>
      </c>
      <c r="F42" s="9">
        <v>0.0</v>
      </c>
      <c r="G42" s="6">
        <v>0.0</v>
      </c>
      <c r="H42" s="6">
        <v>82.5</v>
      </c>
      <c r="I42" s="9">
        <v>0.0</v>
      </c>
      <c r="J42" s="9">
        <v>0.0</v>
      </c>
      <c r="K42" s="9">
        <v>1.0</v>
      </c>
      <c r="L42" s="9">
        <v>0.0</v>
      </c>
      <c r="M42" s="9">
        <v>2.0</v>
      </c>
    </row>
    <row r="43" ht="15.75" customHeight="1">
      <c r="A43" s="8" t="s">
        <v>54</v>
      </c>
      <c r="B43" s="5">
        <v>100.0</v>
      </c>
      <c r="C43" s="5">
        <v>2.0</v>
      </c>
      <c r="D43" s="6">
        <v>22.0</v>
      </c>
      <c r="E43" s="6">
        <v>1020.0</v>
      </c>
      <c r="F43" s="9">
        <v>1.0</v>
      </c>
      <c r="G43" s="6">
        <v>0.0</v>
      </c>
      <c r="H43" s="6">
        <v>82.5</v>
      </c>
      <c r="I43" s="6">
        <v>2.0</v>
      </c>
      <c r="J43" s="9">
        <v>1.0</v>
      </c>
      <c r="K43" s="9">
        <v>1.0</v>
      </c>
      <c r="L43" s="9">
        <v>0.0</v>
      </c>
      <c r="M43" s="9">
        <v>2.0</v>
      </c>
    </row>
    <row r="44" ht="15.75" customHeight="1">
      <c r="A44" s="8" t="s">
        <v>55</v>
      </c>
      <c r="B44" s="5">
        <v>100.0</v>
      </c>
      <c r="C44" s="5">
        <v>0.0</v>
      </c>
      <c r="D44" s="6">
        <v>28.0</v>
      </c>
      <c r="E44" s="6">
        <f t="shared" ref="E44:E60" si="2">60+75</f>
        <v>135</v>
      </c>
      <c r="F44" s="9">
        <v>1.0</v>
      </c>
      <c r="G44" s="6">
        <v>30.0</v>
      </c>
      <c r="H44" s="11">
        <f>27.5+82.5+110</f>
        <v>220</v>
      </c>
      <c r="I44" s="6">
        <v>2.0</v>
      </c>
      <c r="J44" s="7">
        <v>1.0</v>
      </c>
      <c r="K44" s="9">
        <v>1.0</v>
      </c>
      <c r="L44" s="9">
        <v>0.0</v>
      </c>
      <c r="M44" s="5">
        <v>6.0</v>
      </c>
    </row>
    <row r="45" ht="15.75" customHeight="1">
      <c r="A45" s="8" t="s">
        <v>56</v>
      </c>
      <c r="B45" s="5">
        <v>100.0</v>
      </c>
      <c r="C45" s="5">
        <v>0.0</v>
      </c>
      <c r="D45" s="6">
        <v>28.0</v>
      </c>
      <c r="E45" s="6">
        <f t="shared" si="2"/>
        <v>135</v>
      </c>
      <c r="F45" s="9">
        <v>1.0</v>
      </c>
      <c r="G45" s="6">
        <v>30.0</v>
      </c>
      <c r="H45" s="11">
        <f t="shared" ref="H45:H46" si="3">27.5+165</f>
        <v>192.5</v>
      </c>
      <c r="I45" s="6">
        <v>2.0</v>
      </c>
      <c r="J45" s="7">
        <v>1.0</v>
      </c>
      <c r="K45" s="9">
        <v>1.0</v>
      </c>
      <c r="L45" s="9">
        <v>0.0</v>
      </c>
      <c r="M45" s="5">
        <v>6.0</v>
      </c>
    </row>
    <row r="46" ht="15.75" customHeight="1">
      <c r="A46" s="8" t="s">
        <v>57</v>
      </c>
      <c r="B46" s="5">
        <v>100.0</v>
      </c>
      <c r="C46" s="5">
        <v>2.0</v>
      </c>
      <c r="D46" s="6">
        <v>32.0</v>
      </c>
      <c r="E46" s="6">
        <f t="shared" si="2"/>
        <v>135</v>
      </c>
      <c r="F46" s="9">
        <v>1.0</v>
      </c>
      <c r="G46" s="6">
        <v>30.0</v>
      </c>
      <c r="H46" s="11">
        <f t="shared" si="3"/>
        <v>192.5</v>
      </c>
      <c r="I46" s="6">
        <v>2.0</v>
      </c>
      <c r="J46" s="7">
        <v>1.0</v>
      </c>
      <c r="K46" s="9">
        <v>1.0</v>
      </c>
      <c r="L46" s="9">
        <v>0.0</v>
      </c>
      <c r="M46" s="5">
        <v>6.0</v>
      </c>
    </row>
    <row r="47" ht="15.75" customHeight="1">
      <c r="A47" s="8" t="s">
        <v>58</v>
      </c>
      <c r="B47" s="5">
        <v>100.0</v>
      </c>
      <c r="C47" s="5">
        <v>0.0</v>
      </c>
      <c r="D47" s="6">
        <v>32.0</v>
      </c>
      <c r="E47" s="6">
        <f t="shared" si="2"/>
        <v>135</v>
      </c>
      <c r="F47" s="9">
        <v>1.0</v>
      </c>
      <c r="G47" s="6">
        <v>30.0</v>
      </c>
      <c r="H47" s="11">
        <f>27.5+82.5+55</f>
        <v>165</v>
      </c>
      <c r="I47" s="6">
        <v>2.0</v>
      </c>
      <c r="J47" s="7">
        <v>1.0</v>
      </c>
      <c r="K47" s="9">
        <v>1.0</v>
      </c>
      <c r="L47" s="9">
        <v>0.0</v>
      </c>
      <c r="M47" s="5">
        <v>6.0</v>
      </c>
    </row>
    <row r="48" ht="15.75" customHeight="1">
      <c r="A48" s="8" t="s">
        <v>59</v>
      </c>
      <c r="B48" s="5">
        <v>100.0</v>
      </c>
      <c r="C48" s="5">
        <v>0.0</v>
      </c>
      <c r="D48" s="6">
        <v>32.0</v>
      </c>
      <c r="E48" s="6">
        <f t="shared" si="2"/>
        <v>135</v>
      </c>
      <c r="F48" s="9">
        <v>1.0</v>
      </c>
      <c r="G48" s="6">
        <v>30.0</v>
      </c>
      <c r="H48" s="11">
        <f>27.5+110</f>
        <v>137.5</v>
      </c>
      <c r="I48" s="6">
        <v>2.0</v>
      </c>
      <c r="J48" s="7">
        <v>1.0</v>
      </c>
      <c r="K48" s="9">
        <v>1.0</v>
      </c>
      <c r="L48" s="9">
        <v>0.0</v>
      </c>
      <c r="M48" s="5">
        <v>6.0</v>
      </c>
    </row>
    <row r="49" ht="15.75" customHeight="1">
      <c r="A49" s="8" t="s">
        <v>60</v>
      </c>
      <c r="B49" s="5">
        <v>100.0</v>
      </c>
      <c r="C49" s="5">
        <v>2.0</v>
      </c>
      <c r="D49" s="6">
        <v>32.0</v>
      </c>
      <c r="E49" s="6">
        <f t="shared" si="2"/>
        <v>135</v>
      </c>
      <c r="F49" s="9">
        <v>1.0</v>
      </c>
      <c r="G49" s="6">
        <v>30.0</v>
      </c>
      <c r="H49" s="11">
        <f>27.5+82.5+55</f>
        <v>165</v>
      </c>
      <c r="I49" s="6">
        <v>2.0</v>
      </c>
      <c r="J49" s="7">
        <v>1.0</v>
      </c>
      <c r="K49" s="9">
        <v>1.0</v>
      </c>
      <c r="L49" s="9">
        <v>0.0</v>
      </c>
      <c r="M49" s="5">
        <v>6.0</v>
      </c>
    </row>
    <row r="50" ht="15.75" customHeight="1">
      <c r="A50" s="8" t="s">
        <v>61</v>
      </c>
      <c r="B50" s="5">
        <v>100.0</v>
      </c>
      <c r="C50" s="5">
        <v>0.0</v>
      </c>
      <c r="D50" s="6">
        <v>32.0</v>
      </c>
      <c r="E50" s="6">
        <f t="shared" si="2"/>
        <v>135</v>
      </c>
      <c r="F50" s="9">
        <v>1.0</v>
      </c>
      <c r="G50" s="6">
        <v>30.0</v>
      </c>
      <c r="H50" s="11">
        <f t="shared" ref="H50:H51" si="4">27.5+110</f>
        <v>137.5</v>
      </c>
      <c r="I50" s="6">
        <v>2.0</v>
      </c>
      <c r="J50" s="7">
        <v>1.0</v>
      </c>
      <c r="K50" s="9">
        <v>1.0</v>
      </c>
      <c r="L50" s="9">
        <v>0.0</v>
      </c>
      <c r="M50" s="5">
        <v>6.0</v>
      </c>
    </row>
    <row r="51" ht="15.75" customHeight="1">
      <c r="A51" s="8" t="s">
        <v>62</v>
      </c>
      <c r="B51" s="5">
        <v>100.0</v>
      </c>
      <c r="C51" s="5">
        <v>0.0</v>
      </c>
      <c r="D51" s="6">
        <v>32.0</v>
      </c>
      <c r="E51" s="6">
        <f t="shared" si="2"/>
        <v>135</v>
      </c>
      <c r="F51" s="9">
        <v>1.0</v>
      </c>
      <c r="G51" s="6">
        <v>30.0</v>
      </c>
      <c r="H51" s="11">
        <f t="shared" si="4"/>
        <v>137.5</v>
      </c>
      <c r="I51" s="6">
        <v>2.0</v>
      </c>
      <c r="J51" s="7">
        <v>1.0</v>
      </c>
      <c r="K51" s="9">
        <v>1.0</v>
      </c>
      <c r="L51" s="9">
        <v>0.0</v>
      </c>
      <c r="M51" s="5">
        <v>6.0</v>
      </c>
    </row>
    <row r="52" ht="15.75" customHeight="1">
      <c r="A52" s="8" t="s">
        <v>63</v>
      </c>
      <c r="B52" s="5">
        <v>100.0</v>
      </c>
      <c r="C52" s="5">
        <v>2.0</v>
      </c>
      <c r="D52" s="6">
        <v>32.0</v>
      </c>
      <c r="E52" s="6">
        <f t="shared" si="2"/>
        <v>135</v>
      </c>
      <c r="F52" s="9">
        <v>1.0</v>
      </c>
      <c r="G52" s="6">
        <v>30.0</v>
      </c>
      <c r="H52" s="11">
        <f>27.5+82.5+50</f>
        <v>160</v>
      </c>
      <c r="I52" s="6">
        <v>2.0</v>
      </c>
      <c r="J52" s="7">
        <v>1.0</v>
      </c>
      <c r="K52" s="9">
        <v>1.0</v>
      </c>
      <c r="L52" s="9">
        <v>0.0</v>
      </c>
      <c r="M52" s="5">
        <v>6.0</v>
      </c>
    </row>
    <row r="53" ht="15.75" customHeight="1">
      <c r="A53" s="8" t="s">
        <v>64</v>
      </c>
      <c r="B53" s="5">
        <v>100.0</v>
      </c>
      <c r="C53" s="5">
        <v>0.0</v>
      </c>
      <c r="D53" s="6">
        <v>32.0</v>
      </c>
      <c r="E53" s="6">
        <f t="shared" si="2"/>
        <v>135</v>
      </c>
      <c r="F53" s="9">
        <v>1.0</v>
      </c>
      <c r="G53" s="6">
        <v>30.0</v>
      </c>
      <c r="H53" s="11">
        <f>27.5+110</f>
        <v>137.5</v>
      </c>
      <c r="I53" s="6">
        <v>2.0</v>
      </c>
      <c r="J53" s="7">
        <v>1.0</v>
      </c>
      <c r="K53" s="9">
        <v>1.0</v>
      </c>
      <c r="L53" s="9">
        <v>0.0</v>
      </c>
      <c r="M53" s="5">
        <v>6.0</v>
      </c>
    </row>
    <row r="54" ht="15.75" customHeight="1">
      <c r="A54" s="8" t="s">
        <v>65</v>
      </c>
      <c r="B54" s="5">
        <v>100.0</v>
      </c>
      <c r="C54" s="5">
        <v>0.0</v>
      </c>
      <c r="D54" s="6">
        <v>28.0</v>
      </c>
      <c r="E54" s="6">
        <f t="shared" si="2"/>
        <v>135</v>
      </c>
      <c r="F54" s="9">
        <v>1.0</v>
      </c>
      <c r="G54" s="6">
        <v>30.0</v>
      </c>
      <c r="H54" s="11">
        <f>27.5+137.5</f>
        <v>165</v>
      </c>
      <c r="I54" s="6">
        <v>2.0</v>
      </c>
      <c r="J54" s="7">
        <v>1.0</v>
      </c>
      <c r="K54" s="9">
        <v>1.0</v>
      </c>
      <c r="L54" s="9">
        <v>0.0</v>
      </c>
      <c r="M54" s="5">
        <v>6.0</v>
      </c>
    </row>
    <row r="55" ht="15.75" customHeight="1">
      <c r="A55" s="8" t="s">
        <v>66</v>
      </c>
      <c r="B55" s="5">
        <v>100.0</v>
      </c>
      <c r="C55" s="5">
        <v>2.0</v>
      </c>
      <c r="D55" s="6">
        <v>32.0</v>
      </c>
      <c r="E55" s="6">
        <f t="shared" si="2"/>
        <v>135</v>
      </c>
      <c r="F55" s="9">
        <v>1.0</v>
      </c>
      <c r="G55" s="6">
        <v>30.0</v>
      </c>
      <c r="H55" s="11">
        <f>27.5+92.5+82.5</f>
        <v>202.5</v>
      </c>
      <c r="I55" s="6">
        <v>2.0</v>
      </c>
      <c r="J55" s="7">
        <v>1.0</v>
      </c>
      <c r="K55" s="9">
        <v>1.0</v>
      </c>
      <c r="L55" s="9">
        <v>0.0</v>
      </c>
      <c r="M55" s="5">
        <v>6.0</v>
      </c>
    </row>
    <row r="56" ht="15.75" customHeight="1">
      <c r="A56" s="8" t="s">
        <v>67</v>
      </c>
      <c r="B56" s="5">
        <v>100.0</v>
      </c>
      <c r="C56" s="5">
        <v>0.0</v>
      </c>
      <c r="D56" s="6">
        <v>32.0</v>
      </c>
      <c r="E56" s="6">
        <f t="shared" si="2"/>
        <v>135</v>
      </c>
      <c r="F56" s="9">
        <v>1.0</v>
      </c>
      <c r="G56" s="6">
        <v>30.0</v>
      </c>
      <c r="H56" s="11">
        <f>27.5+55+110</f>
        <v>192.5</v>
      </c>
      <c r="I56" s="6">
        <v>2.0</v>
      </c>
      <c r="J56" s="7">
        <v>1.0</v>
      </c>
      <c r="K56" s="9">
        <v>1.0</v>
      </c>
      <c r="L56" s="9">
        <v>0.0</v>
      </c>
      <c r="M56" s="5">
        <v>6.0</v>
      </c>
    </row>
    <row r="57" ht="15.75" customHeight="1">
      <c r="A57" s="8" t="s">
        <v>68</v>
      </c>
      <c r="B57" s="5">
        <v>100.0</v>
      </c>
      <c r="C57" s="5">
        <v>0.0</v>
      </c>
      <c r="D57" s="6">
        <v>32.0</v>
      </c>
      <c r="E57" s="6">
        <f t="shared" si="2"/>
        <v>135</v>
      </c>
      <c r="F57" s="9">
        <v>1.0</v>
      </c>
      <c r="G57" s="6">
        <v>30.0</v>
      </c>
      <c r="H57" s="11">
        <f>27.5+110</f>
        <v>137.5</v>
      </c>
      <c r="I57" s="6">
        <v>2.0</v>
      </c>
      <c r="J57" s="7">
        <v>1.0</v>
      </c>
      <c r="K57" s="9">
        <v>1.0</v>
      </c>
      <c r="L57" s="9">
        <v>0.0</v>
      </c>
      <c r="M57" s="5">
        <v>6.0</v>
      </c>
    </row>
    <row r="58" ht="15.75" customHeight="1">
      <c r="A58" s="8" t="s">
        <v>69</v>
      </c>
      <c r="B58" s="5">
        <v>100.0</v>
      </c>
      <c r="C58" s="5">
        <v>2.0</v>
      </c>
      <c r="D58" s="6">
        <v>32.0</v>
      </c>
      <c r="E58" s="6">
        <f t="shared" si="2"/>
        <v>135</v>
      </c>
      <c r="F58" s="9">
        <v>1.0</v>
      </c>
      <c r="G58" s="6">
        <v>30.0</v>
      </c>
      <c r="H58" s="11">
        <f>27.5+82.5+41.25</f>
        <v>151.25</v>
      </c>
      <c r="I58" s="6">
        <v>2.0</v>
      </c>
      <c r="J58" s="7">
        <v>1.0</v>
      </c>
      <c r="K58" s="9">
        <v>1.0</v>
      </c>
      <c r="L58" s="9">
        <v>0.0</v>
      </c>
      <c r="M58" s="5">
        <v>6.0</v>
      </c>
    </row>
    <row r="59" ht="15.75" customHeight="1">
      <c r="A59" s="8" t="s">
        <v>70</v>
      </c>
      <c r="B59" s="5">
        <v>100.0</v>
      </c>
      <c r="C59" s="5">
        <v>0.0</v>
      </c>
      <c r="D59" s="6">
        <v>32.0</v>
      </c>
      <c r="E59" s="6">
        <f t="shared" si="2"/>
        <v>135</v>
      </c>
      <c r="F59" s="9">
        <v>1.0</v>
      </c>
      <c r="G59" s="6">
        <v>30.0</v>
      </c>
      <c r="H59" s="11">
        <f>27.5+110</f>
        <v>137.5</v>
      </c>
      <c r="I59" s="6">
        <v>2.0</v>
      </c>
      <c r="J59" s="7">
        <v>1.0</v>
      </c>
      <c r="K59" s="9">
        <v>1.0</v>
      </c>
      <c r="L59" s="9">
        <v>0.0</v>
      </c>
      <c r="M59" s="5">
        <v>6.0</v>
      </c>
    </row>
    <row r="60" ht="15.75" customHeight="1">
      <c r="A60" s="8" t="s">
        <v>71</v>
      </c>
      <c r="B60" s="5">
        <v>100.0</v>
      </c>
      <c r="C60" s="5">
        <v>0.0</v>
      </c>
      <c r="D60" s="6">
        <v>28.0</v>
      </c>
      <c r="E60" s="6">
        <f t="shared" si="2"/>
        <v>135</v>
      </c>
      <c r="F60" s="9">
        <v>1.0</v>
      </c>
      <c r="G60" s="6">
        <v>30.0</v>
      </c>
      <c r="H60" s="11">
        <f>27.5+96.25</f>
        <v>123.75</v>
      </c>
      <c r="I60" s="6">
        <v>2.0</v>
      </c>
      <c r="J60" s="7">
        <v>1.0</v>
      </c>
      <c r="K60" s="9">
        <v>1.0</v>
      </c>
      <c r="L60" s="9">
        <v>0.0</v>
      </c>
      <c r="M60" s="5">
        <v>6.0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36.0"/>
    <col customWidth="1" min="3" max="49" width="8.71"/>
  </cols>
  <sheetData>
    <row r="1">
      <c r="A1" s="12" t="s">
        <v>72</v>
      </c>
      <c r="B1" s="13" t="s">
        <v>73</v>
      </c>
      <c r="C1" s="13" t="s">
        <v>74</v>
      </c>
    </row>
    <row r="2">
      <c r="A2" s="14" t="s">
        <v>75</v>
      </c>
      <c r="B2" s="15">
        <f>SUMIF(Lineas!$B$2:$B$36,100,Lineas!$C$2:$C$36)</f>
        <v>24</v>
      </c>
      <c r="C2" s="15">
        <f>SUMIF(Lineas!$B$2:$B$36,200,Lineas!$C$2:$C$36)</f>
        <v>0</v>
      </c>
      <c r="D2" s="16" t="s">
        <v>76</v>
      </c>
    </row>
    <row r="3">
      <c r="A3" s="14" t="s">
        <v>3</v>
      </c>
      <c r="B3" s="15">
        <f>SUMIF(Lineas!$B$2:$B$36,100,Lineas!$D$2:$D$36)</f>
        <v>740</v>
      </c>
      <c r="C3" s="15">
        <f>SUMIF(Lineas!$B$2:$B$36,200,Lineas!$D$2:$D$36)</f>
        <v>0</v>
      </c>
      <c r="D3" s="16" t="s">
        <v>76</v>
      </c>
    </row>
    <row r="4">
      <c r="A4" s="14" t="s">
        <v>4</v>
      </c>
      <c r="B4" s="15">
        <f>SUMIF(Lineas!$B$2:$B$36,100,Lineas!$E$2:$E$36)/220</f>
        <v>80.97727273</v>
      </c>
      <c r="C4" s="15">
        <f>SUMIF(Lineas!$B$2:$B$36,200,Lineas!$E$2:$E$36)/220</f>
        <v>0</v>
      </c>
      <c r="D4" s="16" t="s">
        <v>77</v>
      </c>
    </row>
    <row r="5">
      <c r="A5" s="16" t="s">
        <v>6</v>
      </c>
      <c r="B5" s="15">
        <f>SUMIF(Lineas!$B$2:$B$36,100,Lineas!$G$2:$G$36)/220</f>
        <v>2.454545455</v>
      </c>
      <c r="C5" s="15">
        <f>SUMIF(Lineas!$B$2:$B$36,200,Lineas!$G$2:$G$36)/220</f>
        <v>0</v>
      </c>
      <c r="D5" s="16" t="s">
        <v>77</v>
      </c>
    </row>
    <row r="6">
      <c r="A6" s="16" t="s">
        <v>78</v>
      </c>
      <c r="B6" s="15">
        <f>SUMIF(Lineas!$B$2:$B$36,100,Lineas!$H$2:$H$36)/27.5</f>
        <v>305.3181818</v>
      </c>
      <c r="C6" s="15">
        <f>SUMIF(Lineas!$B$2:$B$36,200,Lineas!$H$2:$H$36)/27.5</f>
        <v>0</v>
      </c>
      <c r="D6" s="16" t="s">
        <v>77</v>
      </c>
    </row>
    <row r="7">
      <c r="A7" s="16" t="s">
        <v>79</v>
      </c>
      <c r="B7" s="15">
        <f>SUMIF(Lineas!$B$2:$B$36,100,Lineas!$I$2:$I$36)</f>
        <v>20</v>
      </c>
      <c r="C7" s="15">
        <f>SUMIF(Lineas!$B$2:$B$36,200,Lineas!$I$2:$I$36)</f>
        <v>0</v>
      </c>
      <c r="D7" s="16" t="s">
        <v>76</v>
      </c>
    </row>
    <row r="8">
      <c r="A8" s="16" t="s">
        <v>80</v>
      </c>
      <c r="B8" s="15">
        <f>SUMIF(Lineas!$B$2:$B$36,100,Lineas!$J$2:$J$36)</f>
        <v>0</v>
      </c>
      <c r="C8" s="15">
        <f>SUMIF(Lineas!$B$2:$B$36,200,Lineas!$J$2:$J$36)</f>
        <v>0</v>
      </c>
      <c r="D8" s="16" t="s">
        <v>76</v>
      </c>
    </row>
    <row r="9">
      <c r="A9" s="16" t="s">
        <v>81</v>
      </c>
      <c r="B9" s="15">
        <f>SUMIF(Lineas!$B$2:$B$36,100,Lineas!$K$2:$K$36)</f>
        <v>25</v>
      </c>
      <c r="C9" s="15">
        <f>SUMIF(Lineas!$B$2:$B$36,200,Lineas!$K$2:$K$36)</f>
        <v>0</v>
      </c>
      <c r="D9" s="16" t="s">
        <v>76</v>
      </c>
    </row>
    <row r="10">
      <c r="A10" s="16" t="s">
        <v>82</v>
      </c>
      <c r="B10" s="15">
        <f>SUMIF(Lineas!$B$2:$B$36,100,Lineas!$L$2:$L$36)</f>
        <v>0</v>
      </c>
      <c r="C10" s="15">
        <f>SUMIF(Lineas!$B$2:$B$36,200,Lineas!$L$2:$L$36)</f>
        <v>0</v>
      </c>
      <c r="D10" s="16" t="s">
        <v>76</v>
      </c>
    </row>
    <row r="11">
      <c r="A11" s="16" t="s">
        <v>83</v>
      </c>
      <c r="B11" s="15">
        <f>SUMIF(Lineas!$B$2:$B$36,100,Lineas!$M$2:$M$36)</f>
        <v>90</v>
      </c>
      <c r="C11" s="15">
        <f>SUMIF(Lineas!$B$2:$B$36,200,Lineas!$M$2:$M$36)</f>
        <v>0</v>
      </c>
      <c r="D11" s="16" t="s">
        <v>76</v>
      </c>
    </row>
    <row r="14">
      <c r="A14" s="16" t="s">
        <v>84</v>
      </c>
      <c r="B14" s="15">
        <f>COUNTIF(Lineas!$B$2:$B$36,100)</f>
        <v>35</v>
      </c>
    </row>
    <row r="15">
      <c r="A15" s="16" t="s">
        <v>84</v>
      </c>
      <c r="B15" s="15">
        <f>COUNTIF(Lineas!$B$2:$B$36,200)</f>
        <v>0</v>
      </c>
    </row>
    <row r="16" ht="15.75" customHeight="1"/>
    <row r="17" ht="15.75" customHeight="1"/>
    <row r="18" ht="15.75" customHeight="1">
      <c r="A18" s="16" t="s">
        <v>85</v>
      </c>
    </row>
    <row r="19" ht="15.75" customHeight="1">
      <c r="E19" s="18"/>
    </row>
    <row r="20" ht="15.75" customHeight="1">
      <c r="E20" s="18">
        <f t="shared" ref="E20:E78" si="1">SUM(B20:D20)</f>
        <v>716</v>
      </c>
    </row>
    <row r="21" ht="15.75" customHeight="1">
      <c r="E21" s="18">
        <f t="shared" si="1"/>
        <v>741</v>
      </c>
    </row>
    <row r="22" ht="15.75" customHeight="1">
      <c r="E22" s="18">
        <f t="shared" si="1"/>
        <v>771</v>
      </c>
    </row>
    <row r="23" ht="15.75" customHeight="1">
      <c r="E23" s="18">
        <f t="shared" si="1"/>
        <v>807.25</v>
      </c>
    </row>
    <row r="24" ht="15.75" customHeight="1">
      <c r="E24" s="18">
        <f t="shared" si="1"/>
        <v>777.25</v>
      </c>
    </row>
    <row r="25" ht="15.75" customHeight="1">
      <c r="E25" s="18">
        <f t="shared" si="1"/>
        <v>807.25</v>
      </c>
    </row>
    <row r="26" ht="15.75" customHeight="1">
      <c r="E26" s="18">
        <f t="shared" si="1"/>
        <v>812.25</v>
      </c>
    </row>
    <row r="27" ht="15.75" customHeight="1">
      <c r="E27" s="18">
        <f t="shared" si="1"/>
        <v>962.25</v>
      </c>
    </row>
    <row r="28" ht="15.75" customHeight="1">
      <c r="E28" s="18">
        <f t="shared" si="1"/>
        <v>932.25</v>
      </c>
    </row>
    <row r="29" ht="15.75" customHeight="1">
      <c r="E29" s="18">
        <f t="shared" si="1"/>
        <v>962.25</v>
      </c>
    </row>
    <row r="30" ht="15.75" customHeight="1">
      <c r="E30" s="18">
        <f t="shared" si="1"/>
        <v>1102.5</v>
      </c>
    </row>
    <row r="31" ht="15.75" customHeight="1">
      <c r="E31" s="18">
        <f t="shared" si="1"/>
        <v>1212.5</v>
      </c>
    </row>
    <row r="32" ht="15.75" customHeight="1">
      <c r="E32" s="18">
        <f t="shared" si="1"/>
        <v>992.5</v>
      </c>
    </row>
    <row r="33" ht="15.75" customHeight="1">
      <c r="E33" s="18">
        <f t="shared" si="1"/>
        <v>1102.5</v>
      </c>
    </row>
    <row r="34" ht="15.75" customHeight="1">
      <c r="E34" s="18">
        <f t="shared" si="1"/>
        <v>1102.5</v>
      </c>
    </row>
    <row r="35" ht="15.75" customHeight="1">
      <c r="E35" s="18">
        <f t="shared" si="1"/>
        <v>992.5</v>
      </c>
    </row>
    <row r="36" ht="15.75" customHeight="1">
      <c r="E36" s="18">
        <f t="shared" si="1"/>
        <v>1102.5</v>
      </c>
    </row>
    <row r="37" ht="15.75" customHeight="1">
      <c r="E37" s="18">
        <f t="shared" si="1"/>
        <v>992.5</v>
      </c>
    </row>
    <row r="38" ht="15.75" customHeight="1">
      <c r="E38" s="18">
        <f t="shared" si="1"/>
        <v>1102.5</v>
      </c>
    </row>
    <row r="39" ht="15.75" customHeight="1">
      <c r="E39" s="18">
        <f t="shared" si="1"/>
        <v>1102.5</v>
      </c>
    </row>
    <row r="40" ht="15.75" customHeight="1">
      <c r="E40" s="18">
        <f t="shared" si="1"/>
        <v>992.5</v>
      </c>
    </row>
    <row r="41" ht="15.75" customHeight="1">
      <c r="E41" s="18">
        <f t="shared" si="1"/>
        <v>992.5</v>
      </c>
    </row>
    <row r="42" ht="15.75" customHeight="1">
      <c r="E42" s="18">
        <f t="shared" si="1"/>
        <v>1102.5</v>
      </c>
    </row>
    <row r="43" ht="15.75" customHeight="1">
      <c r="E43" s="18">
        <f t="shared" si="1"/>
        <v>635</v>
      </c>
    </row>
    <row r="44" ht="15.75" customHeight="1">
      <c r="E44" s="18">
        <f t="shared" si="1"/>
        <v>570</v>
      </c>
    </row>
    <row r="45" ht="15.75" customHeight="1">
      <c r="E45" s="18">
        <f t="shared" si="1"/>
        <v>607.5</v>
      </c>
    </row>
    <row r="46" ht="15.75" customHeight="1">
      <c r="E46" s="18">
        <f t="shared" si="1"/>
        <v>615</v>
      </c>
    </row>
    <row r="47" ht="15.75" customHeight="1">
      <c r="E47" s="18">
        <f t="shared" si="1"/>
        <v>575</v>
      </c>
    </row>
    <row r="48" ht="15.75" customHeight="1">
      <c r="E48" s="18">
        <f t="shared" si="1"/>
        <v>607.5</v>
      </c>
    </row>
    <row r="49" ht="15.75" customHeight="1">
      <c r="E49" s="18">
        <f t="shared" si="1"/>
        <v>635</v>
      </c>
    </row>
    <row r="50" ht="15.75" customHeight="1">
      <c r="E50" s="18">
        <f t="shared" si="1"/>
        <v>570</v>
      </c>
    </row>
    <row r="51" ht="15.75" customHeight="1">
      <c r="E51" s="18">
        <f t="shared" si="1"/>
        <v>602.5</v>
      </c>
    </row>
    <row r="52" ht="15.75" customHeight="1">
      <c r="E52" s="18">
        <f t="shared" si="1"/>
        <v>635</v>
      </c>
    </row>
    <row r="53" ht="15.75" customHeight="1">
      <c r="E53" s="18">
        <f t="shared" si="1"/>
        <v>570</v>
      </c>
    </row>
    <row r="54" ht="15.75" customHeight="1">
      <c r="E54" s="18">
        <f t="shared" si="1"/>
        <v>602.5</v>
      </c>
    </row>
    <row r="55" ht="15.75" customHeight="1">
      <c r="E55" s="18">
        <f t="shared" si="1"/>
        <v>635</v>
      </c>
    </row>
    <row r="56" ht="15.75" customHeight="1">
      <c r="E56" s="18">
        <f t="shared" si="1"/>
        <v>570</v>
      </c>
    </row>
    <row r="57" ht="15.75" customHeight="1">
      <c r="E57" s="18">
        <f t="shared" si="1"/>
        <v>602.5</v>
      </c>
    </row>
    <row r="58" ht="15.75" customHeight="1">
      <c r="E58" s="18">
        <f t="shared" si="1"/>
        <v>640</v>
      </c>
    </row>
    <row r="59" ht="15.75" customHeight="1">
      <c r="E59" s="18">
        <f t="shared" si="1"/>
        <v>575</v>
      </c>
    </row>
    <row r="60" ht="15.75" customHeight="1">
      <c r="E60" s="18">
        <f t="shared" si="1"/>
        <v>607.5</v>
      </c>
    </row>
    <row r="61" ht="15.75" customHeight="1">
      <c r="E61" s="18">
        <f t="shared" si="1"/>
        <v>1102.5</v>
      </c>
    </row>
    <row r="62" ht="15.75" customHeight="1">
      <c r="E62" s="18">
        <f t="shared" si="1"/>
        <v>385</v>
      </c>
    </row>
    <row r="63" ht="15.75" customHeight="1">
      <c r="E63" s="18">
        <f t="shared" si="1"/>
        <v>357.5</v>
      </c>
    </row>
    <row r="64" ht="15.75" customHeight="1">
      <c r="E64" s="18">
        <f t="shared" si="1"/>
        <v>357.5</v>
      </c>
    </row>
    <row r="65" ht="15.75" customHeight="1">
      <c r="E65" s="18">
        <f t="shared" si="1"/>
        <v>330</v>
      </c>
    </row>
    <row r="66" ht="15.75" customHeight="1">
      <c r="E66" s="18">
        <f t="shared" si="1"/>
        <v>302.5</v>
      </c>
    </row>
    <row r="67" ht="15.75" customHeight="1">
      <c r="E67" s="18">
        <f t="shared" si="1"/>
        <v>330</v>
      </c>
    </row>
    <row r="68" ht="15.75" customHeight="1">
      <c r="E68" s="18">
        <f t="shared" si="1"/>
        <v>302.5</v>
      </c>
    </row>
    <row r="69" ht="15.75" customHeight="1">
      <c r="E69" s="18">
        <f t="shared" si="1"/>
        <v>302.5</v>
      </c>
    </row>
    <row r="70" ht="15.75" customHeight="1">
      <c r="E70" s="18">
        <f t="shared" si="1"/>
        <v>325</v>
      </c>
    </row>
    <row r="71" ht="15.75" customHeight="1">
      <c r="E71" s="18">
        <f t="shared" si="1"/>
        <v>302.5</v>
      </c>
    </row>
    <row r="72" ht="15.75" customHeight="1">
      <c r="E72" s="18">
        <f t="shared" si="1"/>
        <v>330</v>
      </c>
    </row>
    <row r="73" ht="15.75" customHeight="1">
      <c r="E73" s="18">
        <f t="shared" si="1"/>
        <v>367.5</v>
      </c>
    </row>
    <row r="74" ht="15.75" customHeight="1">
      <c r="E74" s="18">
        <f t="shared" si="1"/>
        <v>357.5</v>
      </c>
    </row>
    <row r="75" ht="15.75" customHeight="1">
      <c r="E75" s="18">
        <f t="shared" si="1"/>
        <v>302.5</v>
      </c>
    </row>
    <row r="76" ht="15.75" customHeight="1">
      <c r="E76" s="18">
        <f t="shared" si="1"/>
        <v>316.25</v>
      </c>
    </row>
    <row r="77" ht="15.75" customHeight="1">
      <c r="E77" s="18">
        <f t="shared" si="1"/>
        <v>302.5</v>
      </c>
    </row>
    <row r="78" ht="15.75" customHeight="1">
      <c r="E78" s="18">
        <f t="shared" si="1"/>
        <v>288.75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0.75" footer="0.0" header="0.0" left="0.7" right="0.7" top="0.75"/>
  <pageSetup orientation="landscape"/>
  <drawing r:id="rId2"/>
</worksheet>
</file>