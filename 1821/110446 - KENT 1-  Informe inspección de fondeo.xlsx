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7" sheetId="1" r:id="rId5"/>
    <sheet state="visible" name="Inicio de ciclo" sheetId="2" r:id="rId6"/>
    <sheet state="visible" name="Semestral" sheetId="3" r:id="rId7"/>
    <sheet state="visible" name="Fin de ciclo" sheetId="4" r:id="rId8"/>
  </sheets>
  <definedNames>
    <definedName localSheetId="2" name="Estado">Semestral!$D$3</definedName>
    <definedName localSheetId="3" name="Estado">'Fin de ciclo'!$D$3</definedName>
    <definedName name="Estado">#REF!</definedName>
    <definedName localSheetId="1" name="Estado">'Inicio de ciclo'!$D$3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">
      <text>
        <t xml:space="preserve">Especificar el motivo en caso de no llegar a P.M o Ancla.
Especificar Cuando Exista falta de tensión.
Especificar con que linea se presentan los cruces o roces.
</t>
      </text>
    </comment>
    <comment authorId="0" ref="M4">
      <text>
        <t xml:space="preserve">Especificar el motivo en caso de no llegar a P.M o Ancla.
Especificar Cuando Exista falta de tensión.
Especificar con que linea se presentan los cruces o roces.
</t>
      </text>
    </comment>
    <comment authorId="0" ref="M5">
      <text>
        <t xml:space="preserve">Especificar el motivo en caso de no llegar a P.M o Ancla.
Especificar Cuando Exista falta de tensión.
Especificar con que linea se presentan los cruces o roces.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">
      <text>
        <t xml:space="preserve">Especificar el motivo en caso de no llegar a P.M o Ancla.
Especificar Cuando Exista falta de tensión.
Especificar con que linea se presentan los cruces o roces.
</t>
      </text>
    </comment>
    <comment authorId="0" ref="M4">
      <text>
        <t xml:space="preserve">Especificar el motivo en caso de no llegar a P.M o Ancla.
Especificar Cuando Exista falta de tensión.
Especificar con que linea se presentan los cruces o roces.
</t>
      </text>
    </comment>
    <comment authorId="0" ref="M5">
      <text>
        <t xml:space="preserve">Especificar el motivo en caso de no llegar a P.M o Ancla.
Especificar Cuando Exista falta de tensión.
Especificar con que linea se presentan los cruces o roces.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">
      <text>
        <t xml:space="preserve">Especificar el motivo en caso de no llegar a P.M o Ancla.
Especificar Cuando Exista falta de tensión.
Especificar con que linea se presentan los cruces o roces.
</t>
      </text>
    </comment>
    <comment authorId="0" ref="M4">
      <text>
        <t xml:space="preserve">Especificar el motivo en caso de no llegar a P.M o Ancla.
Especificar Cuando Exista falta de tensión.
Especificar con que linea se presentan los cruces o roces.
</t>
      </text>
    </comment>
    <comment authorId="0" ref="M5">
      <text>
        <t xml:space="preserve">Especificar el motivo en caso de no llegar a P.M o Ancla.
Especificar Cuando Exista falta de tensión.
Especificar con que linea se presentan los cruces o roces.
</t>
      </text>
    </comment>
  </commentList>
</comments>
</file>

<file path=xl/sharedStrings.xml><?xml version="1.0" encoding="utf-8"?>
<sst xmlns="http://schemas.openxmlformats.org/spreadsheetml/2006/main" count="326" uniqueCount="103">
  <si>
    <t>Fecha de inspeccion</t>
  </si>
  <si>
    <t>SUM de Largo</t>
  </si>
  <si>
    <t>SUM de Profundidad</t>
  </si>
  <si>
    <t>Suma total</t>
  </si>
  <si>
    <t>Linea</t>
  </si>
  <si>
    <t>Largo</t>
  </si>
  <si>
    <t xml:space="preserve">Posición </t>
  </si>
  <si>
    <t>Estado</t>
  </si>
  <si>
    <t>Piloto</t>
  </si>
  <si>
    <t>Profundidad</t>
  </si>
  <si>
    <t>Video</t>
  </si>
  <si>
    <t>Registro de Muerto</t>
  </si>
  <si>
    <t>Registro de cruce o roce</t>
  </si>
  <si>
    <t>Tipo Cruce</t>
  </si>
  <si>
    <t>Linea según diseño</t>
  </si>
  <si>
    <t>Observaciones</t>
  </si>
  <si>
    <t>C01</t>
  </si>
  <si>
    <t>Este</t>
  </si>
  <si>
    <t>Inspeccionada</t>
  </si>
  <si>
    <t>Yonatan Asmutt</t>
  </si>
  <si>
    <r>
      <rPr>
        <color rgb="FF1155CC"/>
        <u/>
      </rPr>
      <t>C1.mp4</t>
    </r>
  </si>
  <si>
    <t>Sí</t>
  </si>
  <si>
    <t>No</t>
  </si>
  <si>
    <t>S/Cruce</t>
  </si>
  <si>
    <t>Se registra leve falta de tension en cadena saliente de boya a 2.9 mts</t>
  </si>
  <si>
    <t>C02</t>
  </si>
  <si>
    <r>
      <rPr>
        <color rgb="FF1155CC"/>
        <u/>
      </rPr>
      <t>C2.mp4</t>
    </r>
  </si>
  <si>
    <t>Sin Observaciones.</t>
  </si>
  <si>
    <t>C03</t>
  </si>
  <si>
    <r>
      <rPr>
        <color rgb="FF1155CC"/>
        <u/>
      </rPr>
      <t>C3.mp4</t>
    </r>
  </si>
  <si>
    <t>C04</t>
  </si>
  <si>
    <r>
      <rPr>
        <color rgb="FF1155CC"/>
        <u/>
      </rPr>
      <t>C4.mp4</t>
    </r>
  </si>
  <si>
    <t>C05</t>
  </si>
  <si>
    <r>
      <rPr>
        <color rgb="FF1155CC"/>
        <u/>
      </rPr>
      <t>C5.mp4</t>
    </r>
  </si>
  <si>
    <t>PM con conexión a cadena embancada.</t>
  </si>
  <si>
    <t>C06</t>
  </si>
  <si>
    <r>
      <rPr>
        <color rgb="FF1155CC"/>
        <u/>
      </rPr>
      <t>C6.mp4</t>
    </r>
  </si>
  <si>
    <t>PM Mal posicionado a 74 mts</t>
  </si>
  <si>
    <t>C07</t>
  </si>
  <si>
    <r>
      <rPr>
        <color rgb="FF1155CC"/>
        <u/>
      </rPr>
      <t>C7.mp4</t>
    </r>
  </si>
  <si>
    <t>C08</t>
  </si>
  <si>
    <r>
      <rPr>
        <color rgb="FF1155CC"/>
        <u/>
      </rPr>
      <t>C8.mp4</t>
    </r>
  </si>
  <si>
    <t>C09</t>
  </si>
  <si>
    <t>C9.mp4</t>
  </si>
  <si>
    <t>PM Mal posicionado a 72 mts</t>
  </si>
  <si>
    <t>C10</t>
  </si>
  <si>
    <t>Oeste</t>
  </si>
  <si>
    <r>
      <rPr>
        <color rgb="FF1155CC"/>
        <u/>
      </rPr>
      <t>C10.mp4</t>
    </r>
  </si>
  <si>
    <t>C11</t>
  </si>
  <si>
    <r>
      <rPr>
        <color rgb="FF1155CC"/>
        <u/>
      </rPr>
      <t>C11.mp4</t>
    </r>
  </si>
  <si>
    <t>Conexión a PM embancada.</t>
  </si>
  <si>
    <t>C12</t>
  </si>
  <si>
    <r>
      <rPr>
        <color rgb="FF1155CC"/>
        <u/>
      </rPr>
      <t>C12.mp4</t>
    </r>
  </si>
  <si>
    <t>Cadena/Cadena</t>
  </si>
  <si>
    <t>Cruce sin roce en tramo de cadena pasando C13 SOBRE C12 a los 11.8 mts</t>
  </si>
  <si>
    <t>C13</t>
  </si>
  <si>
    <r>
      <rPr>
        <color rgb="FF1155CC"/>
        <u/>
      </rPr>
      <t>C13.mp4</t>
    </r>
  </si>
  <si>
    <t>C14</t>
  </si>
  <si>
    <r>
      <rPr>
        <color rgb="FF1155CC"/>
        <u/>
      </rPr>
      <t>C14.mp4</t>
    </r>
  </si>
  <si>
    <t>C15</t>
  </si>
  <si>
    <r>
      <rPr>
        <color rgb="FF1155CC"/>
        <u/>
      </rPr>
      <t>C15.mp4</t>
    </r>
  </si>
  <si>
    <t>Cadena/PM</t>
  </si>
  <si>
    <t>Cadena de PM aplastada por PM DE C16 a 10 mts.- Conexión Cadena a PM embancada.</t>
  </si>
  <si>
    <t>C16</t>
  </si>
  <si>
    <r>
      <rPr>
        <color rgb="FF1155CC"/>
        <u/>
      </rPr>
      <t>C16.mp4</t>
    </r>
  </si>
  <si>
    <t>PM sobre cadena de C15 EN 9.8</t>
  </si>
  <si>
    <t>C17</t>
  </si>
  <si>
    <r>
      <rPr>
        <color rgb="FF1155CC"/>
        <u/>
      </rPr>
      <t>C17.mp4</t>
    </r>
  </si>
  <si>
    <t>Se registra leve falta de tension en cadena saliente de boya a 0.8 mts</t>
  </si>
  <si>
    <t>C18</t>
  </si>
  <si>
    <r>
      <rPr>
        <color rgb="FF1155CC"/>
        <u/>
      </rPr>
      <t>C18.mp4</t>
    </r>
  </si>
  <si>
    <t>L01</t>
  </si>
  <si>
    <t>Sur</t>
  </si>
  <si>
    <r>
      <rPr>
        <color rgb="FF1155CC"/>
        <u/>
      </rPr>
      <t>L1.mp4</t>
    </r>
  </si>
  <si>
    <t>Se registra falta de tension en linea</t>
  </si>
  <si>
    <t>L02</t>
  </si>
  <si>
    <r>
      <rPr>
        <color rgb="FF1155CC"/>
        <u/>
      </rPr>
      <t>L2.mp4</t>
    </r>
  </si>
  <si>
    <t>Cadena a PM pasa bajo linea de ponton sin roce a 19 mts</t>
  </si>
  <si>
    <t>L03</t>
  </si>
  <si>
    <r>
      <rPr>
        <rFont val="Arial"/>
        <color rgb="FF1155CC"/>
        <u/>
      </rPr>
      <t>L3.mp4</t>
    </r>
  </si>
  <si>
    <t>Cadena aparentemente de ponton cae sobre conexión de PM 18 mts.</t>
  </si>
  <si>
    <t>L04</t>
  </si>
  <si>
    <r>
      <rPr>
        <color rgb="FF1155CC"/>
        <u/>
      </rPr>
      <t>L4.mp4</t>
    </r>
  </si>
  <si>
    <t>Se registra Leve falta de tension en cadena hacia PM</t>
  </si>
  <si>
    <t>L05</t>
  </si>
  <si>
    <r>
      <rPr>
        <color rgb="FF1155CC"/>
        <u/>
      </rPr>
      <t>L5.mp4</t>
    </r>
  </si>
  <si>
    <t>Sin Obrsevaciones.</t>
  </si>
  <si>
    <t>L06</t>
  </si>
  <si>
    <t>Norte</t>
  </si>
  <si>
    <r>
      <rPr>
        <color rgb="FF1155CC"/>
        <u/>
      </rPr>
      <t>L6.mp4</t>
    </r>
  </si>
  <si>
    <t>L07</t>
  </si>
  <si>
    <r>
      <rPr>
        <color rgb="FF1155CC"/>
        <u/>
      </rPr>
      <t>L7.mp4</t>
    </r>
  </si>
  <si>
    <t>L08</t>
  </si>
  <si>
    <r>
      <rPr>
        <color rgb="FF1155CC"/>
        <u/>
      </rPr>
      <t>L8.mp4</t>
    </r>
  </si>
  <si>
    <t>L09</t>
  </si>
  <si>
    <r>
      <rPr>
        <color rgb="FF1155CC"/>
        <u/>
      </rPr>
      <t>L9.mp4</t>
    </r>
  </si>
  <si>
    <t>Cable saliente de muerto hacia costa sin tension.</t>
  </si>
  <si>
    <t>L10</t>
  </si>
  <si>
    <r>
      <rPr>
        <color rgb="FF1155CC"/>
        <u/>
      </rPr>
      <t>L10.mp4</t>
    </r>
  </si>
  <si>
    <t>Se registra PM volteado y con leve daño estructural.</t>
  </si>
  <si>
    <t>Fecha finalizacion del informe:</t>
  </si>
  <si>
    <t>DD/MM/YYYY</t>
  </si>
  <si>
    <t>Nombre del informe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</si>
</sst>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b/>
      <sz val="10.0"/>
      <color rgb="FFFFFFFF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color rgb="FF434343"/>
      <name val="Roboto"/>
    </font>
    <font>
      <color rgb="FF000000"/>
      <name val="Arial"/>
    </font>
    <font>
      <u/>
      <color rgb="FF0000FF"/>
      <name val="Roboto"/>
    </font>
    <font>
      <sz val="11.0"/>
      <color rgb="FF000000"/>
      <name val="Arial"/>
    </font>
    <font>
      <sz val="11.0"/>
      <color rgb="FF222222"/>
      <name val="Arial"/>
    </font>
    <font>
      <color rgb="FF222222"/>
      <name val="Arial"/>
    </font>
    <font>
      <u/>
      <color rgb="FF0000FF"/>
      <name val="Roboto"/>
    </font>
    <font>
      <color rgb="FFFFFFFF"/>
      <name val="Roboto"/>
    </font>
    <font/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A568D"/>
        <bgColor rgb="FF4A568D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B1BAE5"/>
        <bgColor rgb="FFB1BAE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4" numFmtId="49" xfId="0" applyAlignment="1" applyBorder="1" applyFont="1" applyNumberForma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3" fillId="2" fontId="6" numFmtId="49" xfId="0" applyAlignment="1" applyBorder="1" applyFill="1" applyFont="1" applyNumberFormat="1">
      <alignment horizontal="center" readingOrder="0" shrinkToFit="0" vertical="center" wrapText="1"/>
    </xf>
    <xf borderId="1" fillId="3" fontId="7" numFmtId="49" xfId="0" applyAlignment="1" applyBorder="1" applyFill="1" applyFont="1" applyNumberFormat="1">
      <alignment horizontal="center" readingOrder="0" shrinkToFit="0" vertical="center" wrapText="0"/>
    </xf>
    <xf borderId="1" fillId="4" fontId="8" numFmtId="0" xfId="0" applyAlignment="1" applyBorder="1" applyFill="1" applyFont="1">
      <alignment horizontal="right"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3" fontId="8" numFmtId="0" xfId="0" applyAlignment="1" applyBorder="1" applyFont="1">
      <alignment readingOrder="0" shrinkToFit="0" vertical="center" wrapText="0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1" fillId="3" fontId="8" numFmtId="0" xfId="0" applyAlignment="1" applyBorder="1" applyFont="1">
      <alignment readingOrder="0" shrinkToFit="0" vertical="center" wrapText="0"/>
    </xf>
    <xf borderId="1" fillId="3" fontId="10" numFmtId="0" xfId="0" applyAlignment="1" applyBorder="1" applyFont="1">
      <alignment readingOrder="0" shrinkToFit="0" vertical="center" wrapText="0"/>
    </xf>
    <xf borderId="1" fillId="4" fontId="11" numFmtId="49" xfId="0" applyAlignment="1" applyBorder="1" applyFont="1" applyNumberFormat="1">
      <alignment readingOrder="0" shrinkToFit="0" vertical="center" wrapText="0"/>
    </xf>
    <xf borderId="1" fillId="5" fontId="8" numFmtId="0" xfId="0" applyAlignment="1" applyBorder="1" applyFill="1" applyFont="1">
      <alignment readingOrder="0" shrinkToFit="0" vertical="center" wrapText="0"/>
    </xf>
    <xf borderId="1" fillId="5" fontId="8" numFmtId="0" xfId="0" applyAlignment="1" applyBorder="1" applyFont="1">
      <alignment readingOrder="0" shrinkToFit="0" vertical="center" wrapText="0"/>
    </xf>
    <xf borderId="1" fillId="4" fontId="12" numFmtId="49" xfId="0" applyAlignment="1" applyBorder="1" applyFont="1" applyNumberFormat="1">
      <alignment readingOrder="0" shrinkToFit="0" vertical="center" wrapText="0"/>
    </xf>
    <xf borderId="1" fillId="4" fontId="10" numFmtId="49" xfId="0" applyAlignment="1" applyBorder="1" applyFont="1" applyNumberFormat="1">
      <alignment readingOrder="0" shrinkToFit="0" vertical="center" wrapText="0"/>
    </xf>
    <xf borderId="1" fillId="3" fontId="8" numFmtId="0" xfId="0" applyAlignment="1" applyBorder="1" applyFont="1">
      <alignment horizontal="right" readingOrder="0" shrinkToFit="0" vertical="center" wrapText="0"/>
    </xf>
    <xf borderId="1" fillId="0" fontId="13" numFmtId="49" xfId="0" applyAlignment="1" applyBorder="1" applyFont="1" applyNumberFormat="1">
      <alignment horizontal="center" readingOrder="0" shrinkToFit="0" vertical="center" wrapText="0"/>
    </xf>
    <xf borderId="1" fillId="5" fontId="10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6" fontId="8" numFmtId="0" xfId="0" applyAlignment="1" applyBorder="1" applyFill="1" applyFont="1">
      <alignment horizontal="right" readingOrder="0" shrinkToFit="0" vertical="center" wrapText="0"/>
    </xf>
    <xf borderId="0" fillId="0" fontId="14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7" fontId="1" numFmtId="0" xfId="0" applyAlignment="1" applyBorder="1" applyFill="1" applyFont="1">
      <alignment horizontal="center" readingOrder="0" shrinkToFit="0" vertical="center" wrapText="1"/>
    </xf>
    <xf borderId="4" fillId="7" fontId="1" numFmtId="0" xfId="0" applyAlignment="1" applyBorder="1" applyFont="1">
      <alignment horizontal="center" readingOrder="0" shrinkToFit="0" vertical="center" wrapText="1"/>
    </xf>
    <xf borderId="5" fillId="0" fontId="15" numFmtId="0" xfId="0" applyBorder="1" applyFont="1"/>
    <xf borderId="6" fillId="0" fontId="15" numFmtId="0" xfId="0" applyBorder="1" applyFont="1"/>
    <xf borderId="1" fillId="7" fontId="7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49" xfId="0" applyAlignment="1" applyBorder="1" applyFont="1" applyNumberForma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16" numFmtId="49" xfId="0" applyAlignment="1" applyBorder="1" applyFont="1" applyNumberFormat="1">
      <alignment readingOrder="0" shrinkToFit="0" vertical="center" wrapText="0"/>
    </xf>
    <xf borderId="1" fillId="3" fontId="12" numFmtId="49" xfId="0" applyAlignment="1" applyBorder="1" applyFont="1" applyNumberFormat="1">
      <alignment readingOrder="0" shrinkToFit="0" vertical="center" wrapText="0"/>
    </xf>
    <xf borderId="1" fillId="0" fontId="1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Inicio de cic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est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 de cicl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1285875</xdr:colOff>
      <xdr:row>0</xdr:row>
      <xdr:rowOff>28575</xdr:rowOff>
    </xdr:from>
    <xdr:ext cx="2257425" cy="723900"/>
    <xdr:grpSp>
      <xdr:nvGrpSpPr>
        <xdr:cNvPr id="2" name="Shape 2" title="Dibujo"/>
        <xdr:cNvGrpSpPr/>
      </xdr:nvGrpSpPr>
      <xdr:grpSpPr>
        <a:xfrm>
          <a:off x="825625" y="1079375"/>
          <a:ext cx="6598124" cy="2294124"/>
          <a:chOff x="825625" y="1079375"/>
          <a:chExt cx="6598124" cy="2294124"/>
        </a:xfrm>
      </xdr:grpSpPr>
      <xdr:pic>
        <xdr:nvPicPr>
          <xdr:cNvPr id="3" name="Shape 3" title="Certimar, logo mayor resolución.png"/>
          <xdr:cNvPicPr preferRelativeResize="0"/>
        </xdr:nvPicPr>
        <xdr:blipFill rotWithShape="1">
          <a:blip r:embed="rId1">
            <a:alphaModFix/>
          </a:blip>
          <a:srcRect b="21716" l="9209" r="595" t="22530"/>
          <a:stretch/>
        </xdr:blipFill>
        <xdr:spPr>
          <a:xfrm>
            <a:off x="825625" y="1079375"/>
            <a:ext cx="6598124" cy="229412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0</xdr:row>
      <xdr:rowOff>9525</xdr:rowOff>
    </xdr:from>
    <xdr:ext cx="2257425" cy="723900"/>
    <xdr:grpSp>
      <xdr:nvGrpSpPr>
        <xdr:cNvPr id="2" name="Shape 2" title="Dibujo"/>
        <xdr:cNvGrpSpPr/>
      </xdr:nvGrpSpPr>
      <xdr:grpSpPr>
        <a:xfrm>
          <a:off x="825625" y="1079375"/>
          <a:ext cx="6598124" cy="2294124"/>
          <a:chOff x="825625" y="1079375"/>
          <a:chExt cx="6598124" cy="2294124"/>
        </a:xfrm>
      </xdr:grpSpPr>
      <xdr:pic>
        <xdr:nvPicPr>
          <xdr:cNvPr id="3" name="Shape 3" title="Certimar, logo mayor resolución.png"/>
          <xdr:cNvPicPr preferRelativeResize="0"/>
        </xdr:nvPicPr>
        <xdr:blipFill rotWithShape="1">
          <a:blip r:embed="rId1">
            <a:alphaModFix/>
          </a:blip>
          <a:srcRect b="21716" l="9209" r="595" t="22530"/>
          <a:stretch/>
        </xdr:blipFill>
        <xdr:spPr>
          <a:xfrm>
            <a:off x="825625" y="1079375"/>
            <a:ext cx="6598124" cy="229412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0</xdr:row>
      <xdr:rowOff>0</xdr:rowOff>
    </xdr:from>
    <xdr:ext cx="2257425" cy="723900"/>
    <xdr:grpSp>
      <xdr:nvGrpSpPr>
        <xdr:cNvPr id="2" name="Shape 2" title="Dibujo"/>
        <xdr:cNvGrpSpPr/>
      </xdr:nvGrpSpPr>
      <xdr:grpSpPr>
        <a:xfrm>
          <a:off x="825625" y="1079375"/>
          <a:ext cx="6598124" cy="2294124"/>
          <a:chOff x="825625" y="1079375"/>
          <a:chExt cx="6598124" cy="2294124"/>
        </a:xfrm>
      </xdr:grpSpPr>
      <xdr:pic>
        <xdr:nvPicPr>
          <xdr:cNvPr id="3" name="Shape 3" title="Certimar, logo mayor resolución.png"/>
          <xdr:cNvPicPr preferRelativeResize="0"/>
        </xdr:nvPicPr>
        <xdr:blipFill rotWithShape="1">
          <a:blip r:embed="rId1">
            <a:alphaModFix/>
          </a:blip>
          <a:srcRect b="21716" l="9209" r="595" t="22530"/>
          <a:stretch/>
        </xdr:blipFill>
        <xdr:spPr>
          <a:xfrm>
            <a:off x="825625" y="1079375"/>
            <a:ext cx="6598124" cy="229412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M30" sheet="Inicio de ciclo"/>
  </cacheSource>
  <cacheFields>
    <cacheField name="Linea" numFmtId="49">
      <sharedItems>
        <s v="C01"/>
        <s v="C02"/>
        <s v="C03"/>
        <s v="C04"/>
        <s v="C05"/>
        <s v="C06"/>
        <s v="C07"/>
        <s v="C08"/>
        <s v="C09"/>
        <s v="C10"/>
        <s v="C11"/>
        <s v="C12"/>
        <s v="C13"/>
        <s v="C14"/>
        <s v="C15"/>
        <s v="C16"/>
        <s v="C17"/>
        <s v="C18"/>
        <s v="L01"/>
        <s v="L02"/>
        <s v="L03"/>
        <s v="L04"/>
        <s v="L05"/>
        <s v="L06"/>
        <s v="L07"/>
        <s v="L08"/>
        <s v="L09"/>
        <s v="L10"/>
      </sharedItems>
    </cacheField>
    <cacheField name="Largo" numFmtId="0">
      <sharedItems containsSemiMixedTypes="0" containsString="0" containsNumber="1" containsInteger="1">
        <n v="274.0"/>
        <n v="132.0"/>
        <n v="142.0"/>
        <n v="152.0"/>
        <n v="119.0"/>
        <n v="85.0"/>
        <n v="151.0"/>
        <n v="188.0"/>
        <n v="208.0"/>
      </sharedItems>
    </cacheField>
    <cacheField name="Posición " numFmtId="0">
      <sharedItems>
        <s v="Este"/>
        <s v="Oeste"/>
        <s v="Sur"/>
        <s v="Norte"/>
      </sharedItems>
    </cacheField>
    <cacheField name="Estado" numFmtId="0">
      <sharedItems>
        <s v="Inspeccionada"/>
      </sharedItems>
    </cacheField>
    <cacheField name="Piloto" numFmtId="0">
      <sharedItems>
        <s v="Yonatan Asmutt"/>
      </sharedItems>
    </cacheField>
    <cacheField name="Fecha de inspeccion" numFmtId="164">
      <sharedItems containsSemiMixedTypes="0" containsDate="1" containsString="0">
        <d v="2026-02-25T00:00:00Z"/>
        <d v="2026-02-24T00:00:00Z"/>
      </sharedItems>
    </cacheField>
    <cacheField name="Profundidad" numFmtId="0">
      <sharedItems containsSemiMixedTypes="0" containsString="0" containsNumber="1">
        <n v="73.4"/>
        <n v="74.2"/>
        <n v="74.4"/>
        <n v="74.8"/>
        <n v="75.1"/>
        <n v="74.6"/>
        <n v="75.0"/>
        <n v="73.9"/>
        <n v="72.8"/>
        <n v="12.6"/>
        <n v="11.4"/>
        <n v="9.6"/>
        <n v="10.1"/>
        <n v="8.8"/>
        <n v="5.6"/>
        <n v="9.8"/>
        <n v="5.5"/>
        <n v="5.1"/>
        <n v="18.6"/>
        <n v="18.1"/>
        <n v="18.4"/>
        <n v="16.4"/>
        <n v="15.2"/>
        <n v="2.4"/>
        <n v="6.0"/>
        <n v="19.9"/>
        <n v="23.4"/>
        <n v="30.4"/>
      </sharedItems>
    </cacheField>
    <cacheField name="Video" numFmtId="49">
      <sharedItems>
        <s v="C1.mp4"/>
        <s v="C2.mp4"/>
        <s v="C3.mp4"/>
        <s v="C4.mp4"/>
        <s v="C5.mp4"/>
        <s v="C6.mp4"/>
        <s v="C7.mp4"/>
        <s v="C8.mp4"/>
        <s v="C9.mp4"/>
        <s v="C10.mp4"/>
        <s v="C11.mp4"/>
        <s v="C12.mp4"/>
        <s v="C13.mp4"/>
        <s v="C14.mp4"/>
        <s v="C15.mp4"/>
        <s v="C16.mp4"/>
        <s v="C17.mp4"/>
        <s v="C18.mp4"/>
        <s v="L1.mp4"/>
        <s v="L2.mp4"/>
        <s v="L3.mp4"/>
        <s v="L4.mp4"/>
        <s v="L5.mp4"/>
        <s v="L6.mp4"/>
        <s v="L7.mp4"/>
        <s v="L8.mp4"/>
        <s v="L9.mp4"/>
        <s v="L10.mp4"/>
      </sharedItems>
    </cacheField>
    <cacheField name="Registro de Muerto" numFmtId="0">
      <sharedItems>
        <s v="Sí"/>
      </sharedItems>
    </cacheField>
    <cacheField name="Registro de cruce o roce" numFmtId="0">
      <sharedItems>
        <s v="No"/>
        <s v="Sí"/>
      </sharedItems>
    </cacheField>
    <cacheField name="Tipo Cruce" numFmtId="0">
      <sharedItems>
        <s v="S/Cruce"/>
        <s v="Cadena/Cadena"/>
        <s v="Cadena/PM"/>
      </sharedItems>
    </cacheField>
    <cacheField name="Linea según diseño" numFmtId="0">
      <sharedItems>
        <s v="Sí"/>
        <s v="No"/>
      </sharedItems>
    </cacheField>
    <cacheField name="Observaciones" numFmtId="49">
      <sharedItems>
        <s v="Se registra leve falta de tension en cadena saliente de boya a 2.9 mts"/>
        <s v="Sin Observaciones."/>
        <s v="PM con conexión a cadena embancada."/>
        <s v="PM Mal posicionado a 74 mts"/>
        <s v="PM Mal posicionado a 72 mts"/>
        <s v="Conexión a PM embancada."/>
        <s v="Cruce sin roce en tramo de cadena pasando C13 SOBRE C12 a los 11.8 mts"/>
        <s v="Cadena de PM aplastada por PM DE C16 a 10 mts.- Conexión Cadena a PM embancada."/>
        <s v="PM sobre cadena de C15 EN 9.8"/>
        <s v="Se registra leve falta de tension en cadena saliente de boya a 0.8 mts"/>
        <s v="Se registra falta de tension en linea"/>
        <s v="Cadena a PM pasa bajo linea de ponton sin roce a 19 mts"/>
        <s v="Cadena aparentemente de ponton cae sobre conexión de PM 18 mts."/>
        <s v="Se registra Leve falta de tension en cadena hacia PM"/>
        <s v="Sin Obrsevaciones."/>
        <s v="Cable saliente de muerto hacia costa sin tension."/>
        <s v="Se registra PM volteado y con leve daño estructural.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 7" cacheId="0" dataCaption="" compact="0" compactData="0">
  <location ref="A1:C4" firstHeaderRow="0" firstDataRow="2" firstDataCol="0"/>
  <pivotFields>
    <pivotField name="Line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Larg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osición " compact="0" outline="0" multipleItemSelectionAllowed="1" showAll="0">
      <items>
        <item x="0"/>
        <item x="1"/>
        <item x="2"/>
        <item x="3"/>
        <item t="default"/>
      </items>
    </pivotField>
    <pivotField name="Estado" compact="0" outline="0" multipleItemSelectionAllowed="1" showAll="0">
      <items>
        <item x="0"/>
        <item t="default"/>
      </items>
    </pivotField>
    <pivotField name="Piloto" compact="0" outline="0" multipleItemSelectionAllowed="1" showAll="0">
      <items>
        <item x="0"/>
        <item t="default"/>
      </items>
    </pivotField>
    <pivotField name="Fecha de inspeccion" axis="axisRow" compact="0" numFmtId="164" outline="0" multipleItemSelectionAllowed="1" showAll="0" sortType="ascending">
      <items>
        <item x="1"/>
        <item x="0"/>
        <item t="default"/>
      </items>
    </pivotField>
    <pivotField name="Profundid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ide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egistro de Muerto" compact="0" outline="0" multipleItemSelectionAllowed="1" showAll="0">
      <items>
        <item x="0"/>
        <item t="default"/>
      </items>
    </pivotField>
    <pivotField name="Registro de cruce o roce" compact="0" outline="0" multipleItemSelectionAllowed="1" showAll="0">
      <items>
        <item x="0"/>
        <item x="1"/>
        <item t="default"/>
      </items>
    </pivotField>
    <pivotField name="Tipo Cruce" compact="0" outline="0" multipleItemSelectionAllowed="1" showAll="0">
      <items>
        <item x="0"/>
        <item x="1"/>
        <item x="2"/>
        <item t="default"/>
      </items>
    </pivotField>
    <pivotField name="Linea según diseño" compact="0" outline="0" multipleItemSelectionAllowed="1" showAll="0">
      <items>
        <item x="0"/>
        <item x="1"/>
        <item t="default"/>
      </items>
    </pivotField>
    <pivotField name="Observaciones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5"/>
  </rowFields>
  <colFields>
    <field x="-2"/>
  </colFields>
  <dataFields>
    <dataField name="SUM of Largo" fld="1" baseField="0"/>
    <dataField name="SUM of Profundidad" fld="6" baseField="0"/>
  </dataFields>
</pivotTableDefinition>
</file>

<file path=xl/tables/table1.xml><?xml version="1.0" encoding="utf-8"?>
<table xmlns="http://schemas.openxmlformats.org/spreadsheetml/2006/main" ref="A2:M30" displayName="Registros" name="Registros" id="1">
  <tableColumns count="13">
    <tableColumn name="Linea" id="1"/>
    <tableColumn name="Largo" id="2"/>
    <tableColumn name="Posición " id="3"/>
    <tableColumn name="Estado" id="4"/>
    <tableColumn name="Piloto" id="5"/>
    <tableColumn name="Fecha de inspeccion" id="6"/>
    <tableColumn name="Profundidad" id="7"/>
    <tableColumn name="Video" id="8"/>
    <tableColumn name="Registro de Muerto" id="9"/>
    <tableColumn name="Registro de cruce o roce" id="10"/>
    <tableColumn name="Tipo Cruce" id="11"/>
    <tableColumn name="Linea según diseño" id="12"/>
    <tableColumn name="Observaciones" id="13"/>
  </tableColumns>
  <tableStyleInfo name="Inicio de ciclo-style" showColumnStripes="0" showFirstColumn="1" showLastColumn="1" showRowStripes="1"/>
</table>
</file>

<file path=xl/tables/table2.xml><?xml version="1.0" encoding="utf-8"?>
<table xmlns="http://schemas.openxmlformats.org/spreadsheetml/2006/main" ref="A2:M69" displayName="Registros_2" name="Registros_2" id="2">
  <tableColumns count="13">
    <tableColumn name="Linea" id="1"/>
    <tableColumn name="Largo" id="2"/>
    <tableColumn name="Posición " id="3"/>
    <tableColumn name="Estado" id="4"/>
    <tableColumn name="Piloto" id="5"/>
    <tableColumn name="Fecha de inspeccion" id="6"/>
    <tableColumn name="Profundidad" id="7"/>
    <tableColumn name="Video" id="8"/>
    <tableColumn name="Registro de Muerto" id="9"/>
    <tableColumn name="Registro de cruce o roce" id="10"/>
    <tableColumn name="Tipo Cruce" id="11"/>
    <tableColumn name="Linea según diseño" id="12"/>
    <tableColumn name="Observaciones" id="13"/>
  </tableColumns>
  <tableStyleInfo name="Semestral-style" showColumnStripes="0" showFirstColumn="1" showLastColumn="1" showRowStripes="1"/>
</table>
</file>

<file path=xl/tables/table3.xml><?xml version="1.0" encoding="utf-8"?>
<table xmlns="http://schemas.openxmlformats.org/spreadsheetml/2006/main" ref="A2:M69" displayName="Registros_3" name="Registros_3" id="3">
  <tableColumns count="13">
    <tableColumn name="Linea" id="1"/>
    <tableColumn name="Largo" id="2"/>
    <tableColumn name="Posición " id="3"/>
    <tableColumn name="Estado" id="4"/>
    <tableColumn name="Piloto" id="5"/>
    <tableColumn name="Fecha de inspeccion" id="6"/>
    <tableColumn name="Profundidad" id="7"/>
    <tableColumn name="Video" id="8"/>
    <tableColumn name="Registro de Muerto" id="9"/>
    <tableColumn name="Registro de cruce o roce" id="10"/>
    <tableColumn name="Tipo Cruce" id="11"/>
    <tableColumn name="Linea según diseño" id="12"/>
    <tableColumn name="Observaciones" id="13"/>
  </tableColumns>
  <tableStyleInfo name="Fin de cic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1drv.ms/v/c/4d6ea58713eb5ec9/IQB99iOU-pfhQa3xvJIDFQHBARNxvhxqUBdV5wYSdw10miw?e=HrTrjc" TargetMode="External"/><Relationship Id="rId22" Type="http://schemas.openxmlformats.org/officeDocument/2006/relationships/hyperlink" Target="https://1drv.ms/v/c/4d6ea58713eb5ec9/IQAXhNlrwcxcRrw6y9PsUckzAa3MePYmouS8m5arK99dOsI?e=jewccr" TargetMode="External"/><Relationship Id="rId21" Type="http://schemas.openxmlformats.org/officeDocument/2006/relationships/hyperlink" Target="https://1drv.ms/v/c/4d6ea58713eb5ec9/IQCdcjgVpUbISK6Dh5aYcVgSAY5wj9-dS27cNQBXqPpM1-I?e=tKE2Ov" TargetMode="External"/><Relationship Id="rId24" Type="http://schemas.openxmlformats.org/officeDocument/2006/relationships/hyperlink" Target="https://1drv.ms/v/c/4d6ea58713eb5ec9/IQCayxxR63UbT586Obtw18NQAYOarjLSJTk8rqQNoHewCGs?e=aVhnwD" TargetMode="External"/><Relationship Id="rId23" Type="http://schemas.openxmlformats.org/officeDocument/2006/relationships/hyperlink" Target="https://1drv.ms/v/c/4d6ea58713eb5ec9/IQAp0D1mK8NIQIiu-788IL1VAUhMx_qahMUjkZPJQY_4308?e=jL5BSy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1drv.ms/v/c/4d6ea58713eb5ec9/IQCKycBAG3-nSIh_hZEhhZ06ARkedB3igEqSotTVAPLgCm8?e=0C7Sfr" TargetMode="External"/><Relationship Id="rId3" Type="http://schemas.openxmlformats.org/officeDocument/2006/relationships/hyperlink" Target="https://1drv.ms/v/c/4d6ea58713eb5ec9/IQBqwCpQPs60SIlgIZujkAODAUWkpyxwufFb5Rz1S32vqb4?e=28sgZN" TargetMode="External"/><Relationship Id="rId4" Type="http://schemas.openxmlformats.org/officeDocument/2006/relationships/hyperlink" Target="https://1drv.ms/v/c/4d6ea58713eb5ec9/IQABkS1t0ZT9SIx2odLDJp8YAYNjlqZnah10aatW56zHUUs?e=8w1fsf" TargetMode="External"/><Relationship Id="rId9" Type="http://schemas.openxmlformats.org/officeDocument/2006/relationships/hyperlink" Target="https://1drv.ms/v/c/4d6ea58713eb5ec9/IQB6But8JEblR4eR4tAUMVOHAV51D1WIdgMT0uwYYEuWIJg?e=uoZ3td" TargetMode="External"/><Relationship Id="rId26" Type="http://schemas.openxmlformats.org/officeDocument/2006/relationships/hyperlink" Target="https://1drv.ms/v/c/4d6ea58713eb5ec9/IQCAARMIZ-QhQZTGiO_W8NOwAWoa7w6lycMqc4iLOS4d3CI?e=qVx0r8" TargetMode="External"/><Relationship Id="rId25" Type="http://schemas.openxmlformats.org/officeDocument/2006/relationships/hyperlink" Target="https://1drv.ms/v/c/4d6ea58713eb5ec9/IQAtN5s3ijkpQL_qvFm6MWIEAUnYyeundl4UfwqYQUSf14g?e=aKG8UU" TargetMode="External"/><Relationship Id="rId28" Type="http://schemas.openxmlformats.org/officeDocument/2006/relationships/hyperlink" Target="https://1drv.ms/v/c/4d6ea58713eb5ec9/IQCTFlWWxM0FTKQzOzz4NCGOAYvO8L5A6tn_mI4ACz4memg?e=jkma8Y" TargetMode="External"/><Relationship Id="rId27" Type="http://schemas.openxmlformats.org/officeDocument/2006/relationships/hyperlink" Target="https://1drv.ms/v/c/4d6ea58713eb5ec9/IQA3GAz63AG6RbspDpL_k2l4AQajGUeI2qYCYnGUltoVKPU?e=3aJwSK" TargetMode="External"/><Relationship Id="rId5" Type="http://schemas.openxmlformats.org/officeDocument/2006/relationships/hyperlink" Target="https://1drv.ms/v/c/4d6ea58713eb5ec9/IQAD7gF5lZHCQbZxnzzb48WbAU1BzDqWew5n2e7a1xzgbo4?e=gBRjHS" TargetMode="External"/><Relationship Id="rId6" Type="http://schemas.openxmlformats.org/officeDocument/2006/relationships/hyperlink" Target="https://1drv.ms/v/c/4d6ea58713eb5ec9/IQDzCWETZTqMT6CmzzqzBTXhAUcUc5fmbdJZmQAZ7FLX8pA?e=9eKIuE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1drv.ms/v/c/4d6ea58713eb5ec9/IQCK9WK5_Vp4TLaadawRWAQyAfphL7hRiERTAgTYU8-A9ws?e=9xBQSx" TargetMode="External"/><Relationship Id="rId8" Type="http://schemas.openxmlformats.org/officeDocument/2006/relationships/hyperlink" Target="https://1drv.ms/v/c/4d6ea58713eb5ec9/IQBayxdHbb8hQo-sxbA9cfvBAYNZJBp6VQk5p9Ktf3kb3iQ?e=YBtfej" TargetMode="External"/><Relationship Id="rId30" Type="http://schemas.openxmlformats.org/officeDocument/2006/relationships/vmlDrawing" Target="../drawings/vmlDrawing1.vml"/><Relationship Id="rId11" Type="http://schemas.openxmlformats.org/officeDocument/2006/relationships/hyperlink" Target="https://1drv.ms/v/c/4d6ea58713eb5ec9/IQDNWXCLFHOnQIW8mstcZMZxAZuwUj2jFirhUxA3DUKjRPI?e=b81mOI" TargetMode="External"/><Relationship Id="rId10" Type="http://schemas.openxmlformats.org/officeDocument/2006/relationships/hyperlink" Target="https://1drv.ms/v/c/4d6ea58713eb5ec9/IQClYtSsly-CTpCao0Y9Q1F5AWYBN9LFq-du7J-ci9m_y8Y?e=1CltZ6" TargetMode="External"/><Relationship Id="rId32" Type="http://schemas.openxmlformats.org/officeDocument/2006/relationships/table" Target="../tables/table1.xml"/><Relationship Id="rId13" Type="http://schemas.openxmlformats.org/officeDocument/2006/relationships/hyperlink" Target="https://1drv.ms/v/c/4d6ea58713eb5ec9/IQCQ5G5fJhIOTKaiGSxfV1MFAayVnIh45Jp-VN_w3RK9A3E?e=PPT3Ws" TargetMode="External"/><Relationship Id="rId12" Type="http://schemas.openxmlformats.org/officeDocument/2006/relationships/hyperlink" Target="https://1drv.ms/v/c/4d6ea58713eb5ec9/IQC6VMGI4oToQbAjeAl1aUKKAdp1EVG-Kiyoe12c44slUeU?e=ZE6hQD" TargetMode="External"/><Relationship Id="rId15" Type="http://schemas.openxmlformats.org/officeDocument/2006/relationships/hyperlink" Target="https://1drv.ms/v/c/4d6ea58713eb5ec9/IQCbx7m-E1glRpTxRN-NOJNeAcYHtH3jjyl-UEHv7BIpjxU?e=FzgUSp" TargetMode="External"/><Relationship Id="rId14" Type="http://schemas.openxmlformats.org/officeDocument/2006/relationships/hyperlink" Target="https://1drv.ms/v/c/4d6ea58713eb5ec9/IQCQDMZ2jgzKS6e8ynkTv7aRAc1NWJ4h2DpygPr13Swm_fc?e=P6jyFm" TargetMode="External"/><Relationship Id="rId17" Type="http://schemas.openxmlformats.org/officeDocument/2006/relationships/hyperlink" Target="https://1drv.ms/v/c/4d6ea58713eb5ec9/IQD7ghvTj7SFSJ42EQOx29U_AZnGRYDe0Fp-HFk4ZcGHV-M?e=q1eLgw" TargetMode="External"/><Relationship Id="rId16" Type="http://schemas.openxmlformats.org/officeDocument/2006/relationships/hyperlink" Target="https://1drv.ms/v/c/4d6ea58713eb5ec9/IQB2nPzYszhsTYkAzE5sD5CoAXzlb2zCxChWIJXniTVYiTk?e=r8kPuM" TargetMode="External"/><Relationship Id="rId19" Type="http://schemas.openxmlformats.org/officeDocument/2006/relationships/hyperlink" Target="https://1drv.ms/v/c/4d6ea58713eb5ec9/IQDlTbBtajaWRbIi0LbrykGlASGA6a3MLXP3SetYOVlFAlI?e=g8vDDb" TargetMode="External"/><Relationship Id="rId18" Type="http://schemas.openxmlformats.org/officeDocument/2006/relationships/hyperlink" Target="https://1drv.ms/v/c/4d6ea58713eb5ec9/IQCKQlNAgNMiR4oUs77CzCUEAUzuVzK8T1vw8j-SEwm-ZEU?e=vcQXw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75"/>
    <col customWidth="1" min="2" max="2" width="13.0"/>
    <col customWidth="1" min="3" max="3" width="15.13"/>
    <col customWidth="1" min="4" max="4" width="21.5"/>
    <col customWidth="1" min="5" max="5" width="20.25"/>
    <col customWidth="1" min="6" max="6" width="18.75"/>
    <col customWidth="1" min="7" max="7" width="19.25"/>
    <col customWidth="1" min="8" max="8" width="22.0"/>
    <col customWidth="1" min="9" max="9" width="19.5"/>
    <col customWidth="1" min="10" max="10" width="18.63"/>
    <col customWidth="1" min="11" max="12" width="18.0"/>
    <col customWidth="1" min="13" max="13" width="79.63"/>
  </cols>
  <sheetData>
    <row r="1" ht="61.5" customHeight="1">
      <c r="A1" s="4"/>
      <c r="B1" s="4"/>
    </row>
    <row r="2" ht="34.5" customHeight="1">
      <c r="A2" s="5" t="s">
        <v>4</v>
      </c>
      <c r="B2" s="6" t="s">
        <v>5</v>
      </c>
      <c r="C2" s="6" t="s">
        <v>6</v>
      </c>
      <c r="D2" s="7" t="s">
        <v>7</v>
      </c>
      <c r="E2" s="6" t="s">
        <v>8</v>
      </c>
      <c r="F2" s="6" t="s">
        <v>0</v>
      </c>
      <c r="G2" s="6" t="s">
        <v>9</v>
      </c>
      <c r="H2" s="8" t="s">
        <v>10</v>
      </c>
      <c r="I2" s="9" t="s">
        <v>11</v>
      </c>
      <c r="J2" s="9" t="s">
        <v>12</v>
      </c>
      <c r="K2" s="10" t="s">
        <v>13</v>
      </c>
      <c r="L2" s="11" t="s">
        <v>14</v>
      </c>
      <c r="M2" s="12" t="s">
        <v>15</v>
      </c>
    </row>
    <row r="3" ht="22.5" customHeight="1">
      <c r="A3" s="13" t="s">
        <v>16</v>
      </c>
      <c r="B3" s="14">
        <v>274.0</v>
      </c>
      <c r="C3" s="15" t="s">
        <v>17</v>
      </c>
      <c r="D3" s="15" t="s">
        <v>18</v>
      </c>
      <c r="E3" s="16" t="s">
        <v>19</v>
      </c>
      <c r="F3" s="17">
        <v>46078.0</v>
      </c>
      <c r="G3" s="18">
        <v>73.4</v>
      </c>
      <c r="H3" s="19" t="s">
        <v>20</v>
      </c>
      <c r="I3" s="20" t="s">
        <v>21</v>
      </c>
      <c r="J3" s="20" t="s">
        <v>22</v>
      </c>
      <c r="K3" s="21" t="s">
        <v>23</v>
      </c>
      <c r="L3" s="21" t="s">
        <v>21</v>
      </c>
      <c r="M3" s="22" t="s">
        <v>24</v>
      </c>
    </row>
    <row r="4" ht="22.5" customHeight="1">
      <c r="A4" s="13" t="s">
        <v>25</v>
      </c>
      <c r="B4" s="14">
        <v>274.0</v>
      </c>
      <c r="C4" s="15" t="s">
        <v>17</v>
      </c>
      <c r="D4" s="15" t="s">
        <v>18</v>
      </c>
      <c r="E4" s="16" t="s">
        <v>19</v>
      </c>
      <c r="F4" s="17">
        <v>46078.0</v>
      </c>
      <c r="G4" s="23">
        <v>74.2</v>
      </c>
      <c r="H4" s="19" t="s">
        <v>26</v>
      </c>
      <c r="I4" s="24" t="s">
        <v>21</v>
      </c>
      <c r="J4" s="24" t="s">
        <v>22</v>
      </c>
      <c r="K4" s="21" t="s">
        <v>23</v>
      </c>
      <c r="L4" s="21" t="s">
        <v>21</v>
      </c>
      <c r="M4" s="25" t="s">
        <v>27</v>
      </c>
    </row>
    <row r="5" ht="22.5" customHeight="1">
      <c r="A5" s="13" t="s">
        <v>28</v>
      </c>
      <c r="B5" s="14">
        <v>274.0</v>
      </c>
      <c r="C5" s="15" t="s">
        <v>17</v>
      </c>
      <c r="D5" s="15" t="s">
        <v>18</v>
      </c>
      <c r="E5" s="16" t="s">
        <v>19</v>
      </c>
      <c r="F5" s="17">
        <v>46078.0</v>
      </c>
      <c r="G5" s="18">
        <v>74.4</v>
      </c>
      <c r="H5" s="19" t="s">
        <v>29</v>
      </c>
      <c r="I5" s="20" t="s">
        <v>21</v>
      </c>
      <c r="J5" s="20" t="s">
        <v>22</v>
      </c>
      <c r="K5" s="21" t="s">
        <v>23</v>
      </c>
      <c r="L5" s="21" t="s">
        <v>21</v>
      </c>
      <c r="M5" s="25" t="s">
        <v>27</v>
      </c>
    </row>
    <row r="6" ht="22.5" customHeight="1">
      <c r="A6" s="13" t="s">
        <v>30</v>
      </c>
      <c r="B6" s="14">
        <v>274.0</v>
      </c>
      <c r="C6" s="15" t="s">
        <v>17</v>
      </c>
      <c r="D6" s="15" t="s">
        <v>18</v>
      </c>
      <c r="E6" s="16" t="s">
        <v>19</v>
      </c>
      <c r="F6" s="17">
        <v>46078.0</v>
      </c>
      <c r="G6" s="23">
        <v>74.8</v>
      </c>
      <c r="H6" s="19" t="s">
        <v>31</v>
      </c>
      <c r="I6" s="24" t="s">
        <v>21</v>
      </c>
      <c r="J6" s="24" t="s">
        <v>22</v>
      </c>
      <c r="K6" s="21" t="s">
        <v>23</v>
      </c>
      <c r="L6" s="21" t="s">
        <v>21</v>
      </c>
      <c r="M6" s="25" t="s">
        <v>27</v>
      </c>
    </row>
    <row r="7" ht="22.5" customHeight="1">
      <c r="A7" s="13" t="s">
        <v>32</v>
      </c>
      <c r="B7" s="14">
        <v>274.0</v>
      </c>
      <c r="C7" s="15" t="s">
        <v>17</v>
      </c>
      <c r="D7" s="15" t="s">
        <v>18</v>
      </c>
      <c r="E7" s="16" t="s">
        <v>19</v>
      </c>
      <c r="F7" s="17">
        <v>46078.0</v>
      </c>
      <c r="G7" s="18">
        <v>75.1</v>
      </c>
      <c r="H7" s="19" t="s">
        <v>33</v>
      </c>
      <c r="I7" s="20" t="s">
        <v>21</v>
      </c>
      <c r="J7" s="20" t="s">
        <v>22</v>
      </c>
      <c r="K7" s="21" t="s">
        <v>23</v>
      </c>
      <c r="L7" s="21" t="s">
        <v>21</v>
      </c>
      <c r="M7" s="25" t="s">
        <v>34</v>
      </c>
    </row>
    <row r="8" ht="22.5" customHeight="1">
      <c r="A8" s="13" t="s">
        <v>35</v>
      </c>
      <c r="B8" s="14">
        <v>274.0</v>
      </c>
      <c r="C8" s="15" t="s">
        <v>17</v>
      </c>
      <c r="D8" s="15" t="s">
        <v>18</v>
      </c>
      <c r="E8" s="16" t="s">
        <v>19</v>
      </c>
      <c r="F8" s="17">
        <v>46078.0</v>
      </c>
      <c r="G8" s="23">
        <v>74.6</v>
      </c>
      <c r="H8" s="19" t="s">
        <v>36</v>
      </c>
      <c r="I8" s="24" t="s">
        <v>21</v>
      </c>
      <c r="J8" s="24" t="s">
        <v>22</v>
      </c>
      <c r="K8" s="21" t="s">
        <v>23</v>
      </c>
      <c r="L8" s="21" t="s">
        <v>22</v>
      </c>
      <c r="M8" s="26" t="s">
        <v>37</v>
      </c>
    </row>
    <row r="9" ht="22.5" customHeight="1">
      <c r="A9" s="13" t="s">
        <v>38</v>
      </c>
      <c r="B9" s="14">
        <v>274.0</v>
      </c>
      <c r="C9" s="15" t="s">
        <v>17</v>
      </c>
      <c r="D9" s="15" t="s">
        <v>18</v>
      </c>
      <c r="E9" s="16" t="s">
        <v>19</v>
      </c>
      <c r="F9" s="17">
        <v>46078.0</v>
      </c>
      <c r="G9" s="27">
        <v>75.0</v>
      </c>
      <c r="H9" s="19" t="s">
        <v>39</v>
      </c>
      <c r="I9" s="20" t="s">
        <v>21</v>
      </c>
      <c r="J9" s="20" t="s">
        <v>22</v>
      </c>
      <c r="K9" s="21" t="s">
        <v>23</v>
      </c>
      <c r="L9" s="21" t="s">
        <v>21</v>
      </c>
      <c r="M9" s="26" t="s">
        <v>27</v>
      </c>
    </row>
    <row r="10" ht="22.5" customHeight="1">
      <c r="A10" s="13" t="s">
        <v>40</v>
      </c>
      <c r="B10" s="14">
        <v>274.0</v>
      </c>
      <c r="C10" s="15" t="s">
        <v>17</v>
      </c>
      <c r="D10" s="15" t="s">
        <v>18</v>
      </c>
      <c r="E10" s="16" t="s">
        <v>19</v>
      </c>
      <c r="F10" s="17">
        <v>46078.0</v>
      </c>
      <c r="G10" s="23">
        <v>73.9</v>
      </c>
      <c r="H10" s="19" t="s">
        <v>41</v>
      </c>
      <c r="I10" s="24" t="s">
        <v>21</v>
      </c>
      <c r="J10" s="24" t="s">
        <v>22</v>
      </c>
      <c r="K10" s="21" t="s">
        <v>23</v>
      </c>
      <c r="L10" s="21" t="s">
        <v>21</v>
      </c>
      <c r="M10" s="26" t="s">
        <v>27</v>
      </c>
    </row>
    <row r="11" ht="22.5" customHeight="1">
      <c r="A11" s="13" t="s">
        <v>42</v>
      </c>
      <c r="B11" s="14">
        <v>274.0</v>
      </c>
      <c r="C11" s="15" t="s">
        <v>17</v>
      </c>
      <c r="D11" s="15" t="s">
        <v>18</v>
      </c>
      <c r="E11" s="16" t="s">
        <v>19</v>
      </c>
      <c r="F11" s="17">
        <v>46078.0</v>
      </c>
      <c r="G11" s="18">
        <v>72.8</v>
      </c>
      <c r="H11" s="28" t="s">
        <v>43</v>
      </c>
      <c r="I11" s="20" t="s">
        <v>21</v>
      </c>
      <c r="J11" s="20" t="s">
        <v>22</v>
      </c>
      <c r="K11" s="21" t="s">
        <v>23</v>
      </c>
      <c r="L11" s="21" t="s">
        <v>22</v>
      </c>
      <c r="M11" s="25" t="s">
        <v>44</v>
      </c>
    </row>
    <row r="12" ht="22.5" customHeight="1">
      <c r="A12" s="13" t="s">
        <v>45</v>
      </c>
      <c r="B12" s="14">
        <v>132.0</v>
      </c>
      <c r="C12" s="16" t="s">
        <v>46</v>
      </c>
      <c r="D12" s="15" t="s">
        <v>18</v>
      </c>
      <c r="E12" s="16" t="s">
        <v>19</v>
      </c>
      <c r="F12" s="17">
        <v>46078.0</v>
      </c>
      <c r="G12" s="23">
        <v>12.6</v>
      </c>
      <c r="H12" s="19" t="s">
        <v>47</v>
      </c>
      <c r="I12" s="24" t="s">
        <v>21</v>
      </c>
      <c r="J12" s="24" t="s">
        <v>22</v>
      </c>
      <c r="K12" s="21" t="s">
        <v>23</v>
      </c>
      <c r="L12" s="21" t="s">
        <v>21</v>
      </c>
      <c r="M12" s="25" t="s">
        <v>27</v>
      </c>
    </row>
    <row r="13" ht="22.5" customHeight="1">
      <c r="A13" s="13" t="s">
        <v>48</v>
      </c>
      <c r="B13" s="14">
        <v>132.0</v>
      </c>
      <c r="C13" s="16" t="s">
        <v>46</v>
      </c>
      <c r="D13" s="15" t="s">
        <v>18</v>
      </c>
      <c r="E13" s="16" t="s">
        <v>19</v>
      </c>
      <c r="F13" s="17">
        <v>46078.0</v>
      </c>
      <c r="G13" s="18">
        <v>11.4</v>
      </c>
      <c r="H13" s="19" t="s">
        <v>49</v>
      </c>
      <c r="I13" s="20" t="s">
        <v>21</v>
      </c>
      <c r="J13" s="20" t="s">
        <v>22</v>
      </c>
      <c r="K13" s="21" t="s">
        <v>23</v>
      </c>
      <c r="L13" s="21" t="s">
        <v>21</v>
      </c>
      <c r="M13" s="25" t="s">
        <v>50</v>
      </c>
    </row>
    <row r="14" ht="22.5" customHeight="1">
      <c r="A14" s="13" t="s">
        <v>51</v>
      </c>
      <c r="B14" s="14">
        <v>132.0</v>
      </c>
      <c r="C14" s="16" t="s">
        <v>46</v>
      </c>
      <c r="D14" s="15" t="s">
        <v>18</v>
      </c>
      <c r="E14" s="16" t="s">
        <v>19</v>
      </c>
      <c r="F14" s="17">
        <v>46078.0</v>
      </c>
      <c r="G14" s="23">
        <v>9.6</v>
      </c>
      <c r="H14" s="19" t="s">
        <v>52</v>
      </c>
      <c r="I14" s="24" t="s">
        <v>21</v>
      </c>
      <c r="J14" s="29" t="s">
        <v>21</v>
      </c>
      <c r="K14" s="21" t="s">
        <v>53</v>
      </c>
      <c r="L14" s="21" t="s">
        <v>21</v>
      </c>
      <c r="M14" s="25" t="s">
        <v>54</v>
      </c>
    </row>
    <row r="15" ht="22.5" customHeight="1">
      <c r="A15" s="13" t="s">
        <v>55</v>
      </c>
      <c r="B15" s="14">
        <v>142.0</v>
      </c>
      <c r="C15" s="16" t="s">
        <v>46</v>
      </c>
      <c r="D15" s="15" t="s">
        <v>18</v>
      </c>
      <c r="E15" s="16" t="s">
        <v>19</v>
      </c>
      <c r="F15" s="17">
        <v>46078.0</v>
      </c>
      <c r="G15" s="18">
        <v>10.1</v>
      </c>
      <c r="H15" s="19" t="s">
        <v>56</v>
      </c>
      <c r="I15" s="20" t="s">
        <v>21</v>
      </c>
      <c r="J15" s="21" t="s">
        <v>21</v>
      </c>
      <c r="K15" s="21" t="s">
        <v>53</v>
      </c>
      <c r="L15" s="21" t="s">
        <v>21</v>
      </c>
      <c r="M15" s="25" t="s">
        <v>54</v>
      </c>
    </row>
    <row r="16" ht="22.5" customHeight="1">
      <c r="A16" s="13" t="s">
        <v>57</v>
      </c>
      <c r="B16" s="14">
        <v>142.0</v>
      </c>
      <c r="C16" s="16" t="s">
        <v>46</v>
      </c>
      <c r="D16" s="15" t="s">
        <v>18</v>
      </c>
      <c r="E16" s="16" t="s">
        <v>19</v>
      </c>
      <c r="F16" s="17">
        <v>46078.0</v>
      </c>
      <c r="G16" s="23">
        <v>8.8</v>
      </c>
      <c r="H16" s="19" t="s">
        <v>58</v>
      </c>
      <c r="I16" s="29" t="s">
        <v>21</v>
      </c>
      <c r="J16" s="24" t="s">
        <v>22</v>
      </c>
      <c r="K16" s="21" t="s">
        <v>23</v>
      </c>
      <c r="L16" s="21" t="s">
        <v>21</v>
      </c>
      <c r="M16" s="25" t="s">
        <v>27</v>
      </c>
    </row>
    <row r="17" ht="22.5" customHeight="1">
      <c r="A17" s="13" t="s">
        <v>59</v>
      </c>
      <c r="B17" s="14">
        <v>142.0</v>
      </c>
      <c r="C17" s="16" t="s">
        <v>46</v>
      </c>
      <c r="D17" s="15" t="s">
        <v>18</v>
      </c>
      <c r="E17" s="16" t="s">
        <v>19</v>
      </c>
      <c r="F17" s="17">
        <v>46078.0</v>
      </c>
      <c r="G17" s="18">
        <v>5.6</v>
      </c>
      <c r="H17" s="19" t="s">
        <v>60</v>
      </c>
      <c r="I17" s="20" t="s">
        <v>21</v>
      </c>
      <c r="J17" s="21" t="s">
        <v>21</v>
      </c>
      <c r="K17" s="21" t="s">
        <v>61</v>
      </c>
      <c r="L17" s="21" t="s">
        <v>21</v>
      </c>
      <c r="M17" s="25" t="s">
        <v>62</v>
      </c>
    </row>
    <row r="18" ht="22.5" customHeight="1">
      <c r="A18" s="13" t="s">
        <v>63</v>
      </c>
      <c r="B18" s="14">
        <v>152.0</v>
      </c>
      <c r="C18" s="16" t="s">
        <v>46</v>
      </c>
      <c r="D18" s="15" t="s">
        <v>18</v>
      </c>
      <c r="E18" s="16" t="s">
        <v>19</v>
      </c>
      <c r="F18" s="17">
        <v>46078.0</v>
      </c>
      <c r="G18" s="23">
        <v>9.8</v>
      </c>
      <c r="H18" s="19" t="s">
        <v>64</v>
      </c>
      <c r="I18" s="24" t="s">
        <v>21</v>
      </c>
      <c r="J18" s="29" t="s">
        <v>21</v>
      </c>
      <c r="K18" s="21" t="s">
        <v>61</v>
      </c>
      <c r="L18" s="21" t="s">
        <v>21</v>
      </c>
      <c r="M18" s="25" t="s">
        <v>65</v>
      </c>
    </row>
    <row r="19" ht="22.5" customHeight="1">
      <c r="A19" s="13" t="s">
        <v>66</v>
      </c>
      <c r="B19" s="14">
        <v>152.0</v>
      </c>
      <c r="C19" s="16" t="s">
        <v>46</v>
      </c>
      <c r="D19" s="15" t="s">
        <v>18</v>
      </c>
      <c r="E19" s="16" t="s">
        <v>19</v>
      </c>
      <c r="F19" s="17">
        <v>46078.0</v>
      </c>
      <c r="G19" s="18">
        <v>5.5</v>
      </c>
      <c r="H19" s="19" t="s">
        <v>67</v>
      </c>
      <c r="I19" s="20" t="s">
        <v>21</v>
      </c>
      <c r="J19" s="20" t="s">
        <v>22</v>
      </c>
      <c r="K19" s="21" t="s">
        <v>23</v>
      </c>
      <c r="L19" s="21" t="s">
        <v>21</v>
      </c>
      <c r="M19" s="22" t="s">
        <v>68</v>
      </c>
    </row>
    <row r="20" ht="22.5" customHeight="1">
      <c r="A20" s="13" t="s">
        <v>69</v>
      </c>
      <c r="B20" s="14">
        <v>152.0</v>
      </c>
      <c r="C20" s="16" t="s">
        <v>46</v>
      </c>
      <c r="D20" s="15" t="s">
        <v>18</v>
      </c>
      <c r="E20" s="16" t="s">
        <v>19</v>
      </c>
      <c r="F20" s="17">
        <v>46078.0</v>
      </c>
      <c r="G20" s="23">
        <v>5.1</v>
      </c>
      <c r="H20" s="19" t="s">
        <v>70</v>
      </c>
      <c r="I20" s="24" t="s">
        <v>21</v>
      </c>
      <c r="J20" s="24" t="s">
        <v>22</v>
      </c>
      <c r="K20" s="21" t="s">
        <v>23</v>
      </c>
      <c r="L20" s="21" t="s">
        <v>21</v>
      </c>
      <c r="M20" s="25" t="s">
        <v>27</v>
      </c>
    </row>
    <row r="21" ht="22.5" customHeight="1">
      <c r="A21" s="13" t="s">
        <v>71</v>
      </c>
      <c r="B21" s="14">
        <v>119.0</v>
      </c>
      <c r="C21" s="16" t="s">
        <v>72</v>
      </c>
      <c r="D21" s="15" t="s">
        <v>18</v>
      </c>
      <c r="E21" s="16" t="s">
        <v>19</v>
      </c>
      <c r="F21" s="17">
        <v>46078.0</v>
      </c>
      <c r="G21" s="18">
        <v>18.6</v>
      </c>
      <c r="H21" s="19" t="s">
        <v>73</v>
      </c>
      <c r="I21" s="20" t="s">
        <v>21</v>
      </c>
      <c r="J21" s="20" t="s">
        <v>22</v>
      </c>
      <c r="K21" s="21" t="s">
        <v>23</v>
      </c>
      <c r="L21" s="21" t="s">
        <v>21</v>
      </c>
      <c r="M21" s="25" t="s">
        <v>74</v>
      </c>
    </row>
    <row r="22" ht="22.5" customHeight="1">
      <c r="A22" s="13" t="s">
        <v>75</v>
      </c>
      <c r="B22" s="14">
        <v>119.0</v>
      </c>
      <c r="C22" s="16" t="s">
        <v>72</v>
      </c>
      <c r="D22" s="15" t="s">
        <v>18</v>
      </c>
      <c r="E22" s="16" t="s">
        <v>19</v>
      </c>
      <c r="F22" s="17">
        <v>46078.0</v>
      </c>
      <c r="G22" s="23">
        <v>18.1</v>
      </c>
      <c r="H22" s="19" t="s">
        <v>76</v>
      </c>
      <c r="I22" s="24" t="s">
        <v>21</v>
      </c>
      <c r="J22" s="29" t="s">
        <v>21</v>
      </c>
      <c r="K22" s="21" t="s">
        <v>53</v>
      </c>
      <c r="L22" s="21" t="s">
        <v>21</v>
      </c>
      <c r="M22" s="25" t="s">
        <v>77</v>
      </c>
    </row>
    <row r="23" ht="22.5" customHeight="1">
      <c r="A23" s="13" t="s">
        <v>78</v>
      </c>
      <c r="B23" s="14">
        <v>119.0</v>
      </c>
      <c r="C23" s="16" t="s">
        <v>72</v>
      </c>
      <c r="D23" s="15" t="s">
        <v>18</v>
      </c>
      <c r="E23" s="16" t="s">
        <v>19</v>
      </c>
      <c r="F23" s="17">
        <v>46078.0</v>
      </c>
      <c r="G23" s="18">
        <v>18.4</v>
      </c>
      <c r="H23" s="30" t="s">
        <v>79</v>
      </c>
      <c r="I23" s="20" t="s">
        <v>21</v>
      </c>
      <c r="J23" s="21" t="s">
        <v>21</v>
      </c>
      <c r="K23" s="21" t="s">
        <v>61</v>
      </c>
      <c r="L23" s="21" t="s">
        <v>21</v>
      </c>
      <c r="M23" s="25" t="s">
        <v>80</v>
      </c>
    </row>
    <row r="24" ht="22.5" customHeight="1">
      <c r="A24" s="13" t="s">
        <v>81</v>
      </c>
      <c r="B24" s="14">
        <v>119.0</v>
      </c>
      <c r="C24" s="16" t="s">
        <v>72</v>
      </c>
      <c r="D24" s="15" t="s">
        <v>18</v>
      </c>
      <c r="E24" s="16" t="s">
        <v>19</v>
      </c>
      <c r="F24" s="17">
        <v>46077.0</v>
      </c>
      <c r="G24" s="18">
        <v>16.4</v>
      </c>
      <c r="H24" s="19" t="s">
        <v>82</v>
      </c>
      <c r="I24" s="20" t="s">
        <v>21</v>
      </c>
      <c r="J24" s="20" t="s">
        <v>22</v>
      </c>
      <c r="K24" s="21" t="s">
        <v>23</v>
      </c>
      <c r="L24" s="20" t="s">
        <v>21</v>
      </c>
      <c r="M24" s="25" t="s">
        <v>83</v>
      </c>
    </row>
    <row r="25" ht="22.5" customHeight="1">
      <c r="A25" s="13" t="s">
        <v>84</v>
      </c>
      <c r="B25" s="31">
        <v>85.0</v>
      </c>
      <c r="C25" s="16" t="s">
        <v>72</v>
      </c>
      <c r="D25" s="15" t="s">
        <v>18</v>
      </c>
      <c r="E25" s="16" t="s">
        <v>19</v>
      </c>
      <c r="F25" s="17">
        <v>46077.0</v>
      </c>
      <c r="G25" s="18">
        <v>15.2</v>
      </c>
      <c r="H25" s="19" t="s">
        <v>85</v>
      </c>
      <c r="I25" s="20" t="s">
        <v>21</v>
      </c>
      <c r="J25" s="20" t="s">
        <v>22</v>
      </c>
      <c r="K25" s="21" t="s">
        <v>23</v>
      </c>
      <c r="L25" s="20" t="s">
        <v>21</v>
      </c>
      <c r="M25" s="25" t="s">
        <v>86</v>
      </c>
    </row>
    <row r="26" ht="22.5" customHeight="1">
      <c r="A26" s="13" t="s">
        <v>87</v>
      </c>
      <c r="B26" s="31">
        <v>85.0</v>
      </c>
      <c r="C26" s="16" t="s">
        <v>88</v>
      </c>
      <c r="D26" s="15" t="s">
        <v>18</v>
      </c>
      <c r="E26" s="16" t="s">
        <v>19</v>
      </c>
      <c r="F26" s="17">
        <v>46077.0</v>
      </c>
      <c r="G26" s="18">
        <v>2.4</v>
      </c>
      <c r="H26" s="19" t="s">
        <v>89</v>
      </c>
      <c r="I26" s="20" t="s">
        <v>21</v>
      </c>
      <c r="J26" s="20" t="s">
        <v>22</v>
      </c>
      <c r="K26" s="20" t="s">
        <v>23</v>
      </c>
      <c r="L26" s="20" t="s">
        <v>21</v>
      </c>
      <c r="M26" s="25" t="s">
        <v>86</v>
      </c>
    </row>
    <row r="27" ht="22.5" customHeight="1">
      <c r="A27" s="13" t="s">
        <v>90</v>
      </c>
      <c r="B27" s="31">
        <v>85.0</v>
      </c>
      <c r="C27" s="16" t="s">
        <v>88</v>
      </c>
      <c r="D27" s="15" t="s">
        <v>18</v>
      </c>
      <c r="E27" s="16" t="s">
        <v>19</v>
      </c>
      <c r="F27" s="17">
        <v>46077.0</v>
      </c>
      <c r="G27" s="18">
        <v>6.0</v>
      </c>
      <c r="H27" s="19" t="s">
        <v>91</v>
      </c>
      <c r="I27" s="20" t="s">
        <v>21</v>
      </c>
      <c r="J27" s="20" t="s">
        <v>22</v>
      </c>
      <c r="K27" s="20" t="s">
        <v>23</v>
      </c>
      <c r="L27" s="20" t="s">
        <v>21</v>
      </c>
      <c r="M27" s="25" t="s">
        <v>86</v>
      </c>
    </row>
    <row r="28" ht="22.5" customHeight="1">
      <c r="A28" s="13" t="s">
        <v>92</v>
      </c>
      <c r="B28" s="14">
        <v>151.0</v>
      </c>
      <c r="C28" s="16" t="s">
        <v>88</v>
      </c>
      <c r="D28" s="15" t="s">
        <v>18</v>
      </c>
      <c r="E28" s="16" t="s">
        <v>19</v>
      </c>
      <c r="F28" s="17">
        <v>46077.0</v>
      </c>
      <c r="G28" s="18">
        <v>19.9</v>
      </c>
      <c r="H28" s="19" t="s">
        <v>93</v>
      </c>
      <c r="I28" s="20" t="s">
        <v>21</v>
      </c>
      <c r="J28" s="20" t="s">
        <v>22</v>
      </c>
      <c r="K28" s="20" t="s">
        <v>23</v>
      </c>
      <c r="L28" s="20" t="s">
        <v>21</v>
      </c>
      <c r="M28" s="25" t="s">
        <v>86</v>
      </c>
    </row>
    <row r="29" ht="22.5" customHeight="1">
      <c r="A29" s="13" t="s">
        <v>94</v>
      </c>
      <c r="B29" s="14">
        <v>188.0</v>
      </c>
      <c r="C29" s="16" t="s">
        <v>88</v>
      </c>
      <c r="D29" s="15" t="s">
        <v>18</v>
      </c>
      <c r="E29" s="16" t="s">
        <v>19</v>
      </c>
      <c r="F29" s="17">
        <v>46077.0</v>
      </c>
      <c r="G29" s="18">
        <v>23.4</v>
      </c>
      <c r="H29" s="19" t="s">
        <v>95</v>
      </c>
      <c r="I29" s="20" t="s">
        <v>21</v>
      </c>
      <c r="J29" s="20" t="s">
        <v>22</v>
      </c>
      <c r="K29" s="20" t="s">
        <v>23</v>
      </c>
      <c r="L29" s="20" t="s">
        <v>21</v>
      </c>
      <c r="M29" s="25" t="s">
        <v>96</v>
      </c>
    </row>
    <row r="30" ht="22.5" customHeight="1">
      <c r="A30" s="13" t="s">
        <v>97</v>
      </c>
      <c r="B30" s="14">
        <v>208.0</v>
      </c>
      <c r="C30" s="16" t="s">
        <v>88</v>
      </c>
      <c r="D30" s="15" t="s">
        <v>18</v>
      </c>
      <c r="E30" s="16" t="s">
        <v>19</v>
      </c>
      <c r="F30" s="17">
        <v>46077.0</v>
      </c>
      <c r="G30" s="18">
        <v>30.4</v>
      </c>
      <c r="H30" s="19" t="s">
        <v>98</v>
      </c>
      <c r="I30" s="20" t="s">
        <v>21</v>
      </c>
      <c r="J30" s="20" t="s">
        <v>22</v>
      </c>
      <c r="K30" s="20" t="s">
        <v>23</v>
      </c>
      <c r="L30" s="20" t="s">
        <v>21</v>
      </c>
      <c r="M30" s="25" t="s">
        <v>99</v>
      </c>
    </row>
  </sheetData>
  <mergeCells count="1">
    <mergeCell ref="B1:M1"/>
  </mergeCells>
  <conditionalFormatting sqref="M3:M5">
    <cfRule type="notContainsBlanks" dxfId="5" priority="1">
      <formula>LEN(TRIM(M3))&gt;0</formula>
    </cfRule>
  </conditionalFormatting>
  <conditionalFormatting sqref="B3:B30">
    <cfRule type="cellIs" dxfId="5" priority="2" operator="between">
      <formula>100</formula>
      <formula>1500</formula>
    </cfRule>
  </conditionalFormatting>
  <dataValidations>
    <dataValidation type="list" allowBlank="1" sqref="I3:J30 L3:L30">
      <formula1>"Sí,No"</formula1>
    </dataValidation>
    <dataValidation type="custom" allowBlank="1" showDropDown="1" sqref="F3:F30">
      <formula1>OR(NOT(ISERROR(DATEVALUE(F3))), AND(ISNUMBER(F3), LEFT(CELL("format", F3))="D"))</formula1>
    </dataValidation>
    <dataValidation type="list" allowBlank="1" sqref="E3:E30">
      <formula1>"Yonatan Asmutt"</formula1>
    </dataValidation>
    <dataValidation type="custom" allowBlank="1" showDropDown="1" sqref="B3:B30 G3:G30">
      <formula1>AND(ISNUMBER(B3),(NOT(OR(NOT(ISERROR(DATEVALUE(B3))), AND(ISNUMBER(B3), LEFT(CELL("format", B3))="D")))))</formula1>
    </dataValidation>
    <dataValidation type="list" allowBlank="1" sqref="D3:D30">
      <formula1>"Inspeccionada,Pendiente"</formula1>
    </dataValidation>
    <dataValidation type="list" allowBlank="1" sqref="C3:C30">
      <formula1>"Norte,Sur,Este,Oeste,NorEste,SurEste,NorOeste,SurOeste"</formula1>
    </dataValidation>
    <dataValidation type="list" allowBlank="1" sqref="K3:K30">
      <formula1>"Cadena/Cadena,Cabo/Cabo,Cadena/PM,Cruce sin Roce,S/Cruce"</formula1>
    </dataValidation>
    <dataValidation allowBlank="1" showDropDown="1" sqref="A3:A30 H3:H30 M3:M30"/>
  </dataValidations>
  <hyperlinks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9"/>
  <legacyDrawing r:id="rId30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75"/>
    <col customWidth="1" min="2" max="2" width="13.0"/>
    <col customWidth="1" min="3" max="3" width="15.13"/>
    <col customWidth="1" min="4" max="4" width="21.5"/>
    <col customWidth="1" min="5" max="5" width="20.25"/>
    <col customWidth="1" min="6" max="6" width="18.75"/>
    <col customWidth="1" min="7" max="7" width="19.25"/>
    <col customWidth="1" min="8" max="8" width="22.0"/>
    <col customWidth="1" min="9" max="9" width="19.5"/>
    <col customWidth="1" min="10" max="10" width="18.63"/>
    <col customWidth="1" min="11" max="12" width="18.0"/>
    <col customWidth="1" min="13" max="13" width="52.13"/>
  </cols>
  <sheetData>
    <row r="1" ht="61.5" customHeight="1">
      <c r="A1" s="32"/>
      <c r="B1" s="33"/>
      <c r="H1" s="34" t="s">
        <v>100</v>
      </c>
      <c r="I1" s="35" t="s">
        <v>101</v>
      </c>
      <c r="J1" s="34" t="s">
        <v>102</v>
      </c>
      <c r="K1" s="36" t="str">
        <f>"Informe Final Centro Martita Inicio de ciclo "&amp;TEXT(I1, "DD-MM-YYYY") 
</f>
        <v>Informe Final Centro Martita Inicio de ciclo DD/MM/YYYY</v>
      </c>
      <c r="L1" s="37"/>
      <c r="M1" s="38"/>
    </row>
    <row r="2" ht="34.5" customHeight="1">
      <c r="A2" s="5" t="s">
        <v>4</v>
      </c>
      <c r="B2" s="6" t="s">
        <v>5</v>
      </c>
      <c r="C2" s="6" t="s">
        <v>6</v>
      </c>
      <c r="D2" s="7" t="s">
        <v>7</v>
      </c>
      <c r="E2" s="6" t="s">
        <v>8</v>
      </c>
      <c r="F2" s="6" t="s">
        <v>0</v>
      </c>
      <c r="G2" s="6" t="s">
        <v>9</v>
      </c>
      <c r="H2" s="6" t="s">
        <v>10</v>
      </c>
      <c r="I2" s="9" t="s">
        <v>11</v>
      </c>
      <c r="J2" s="9" t="s">
        <v>12</v>
      </c>
      <c r="K2" s="10" t="s">
        <v>13</v>
      </c>
      <c r="L2" s="11" t="s">
        <v>14</v>
      </c>
      <c r="M2" s="12" t="s">
        <v>15</v>
      </c>
    </row>
    <row r="3" ht="22.5" customHeight="1">
      <c r="A3" s="39"/>
      <c r="B3" s="40"/>
      <c r="C3" s="41"/>
      <c r="D3" s="41"/>
      <c r="E3" s="42"/>
      <c r="F3" s="17"/>
      <c r="G3" s="40"/>
      <c r="H3" s="43"/>
      <c r="I3" s="42"/>
      <c r="J3" s="42"/>
      <c r="K3" s="44"/>
      <c r="L3" s="42"/>
      <c r="M3" s="45"/>
    </row>
    <row r="4" ht="22.5" customHeight="1">
      <c r="A4" s="39"/>
      <c r="B4" s="40"/>
      <c r="C4" s="42"/>
      <c r="D4" s="42"/>
      <c r="E4" s="42"/>
      <c r="F4" s="17"/>
      <c r="G4" s="40"/>
      <c r="H4" s="43"/>
      <c r="I4" s="42"/>
      <c r="J4" s="42"/>
      <c r="K4" s="44"/>
      <c r="L4" s="42"/>
      <c r="M4" s="46"/>
    </row>
    <row r="5" ht="22.5" customHeight="1">
      <c r="A5" s="39"/>
      <c r="B5" s="40"/>
      <c r="C5" s="42"/>
      <c r="D5" s="42"/>
      <c r="E5" s="42"/>
      <c r="F5" s="17"/>
      <c r="G5" s="40"/>
      <c r="H5" s="43"/>
      <c r="I5" s="42"/>
      <c r="J5" s="42"/>
      <c r="K5" s="44"/>
      <c r="L5" s="42"/>
      <c r="M5" s="46"/>
    </row>
    <row r="6" ht="22.5" customHeight="1">
      <c r="A6" s="39"/>
      <c r="B6" s="40"/>
      <c r="C6" s="42"/>
      <c r="D6" s="42"/>
      <c r="E6" s="42"/>
      <c r="F6" s="17"/>
      <c r="G6" s="40"/>
      <c r="H6" s="43"/>
      <c r="I6" s="42"/>
      <c r="J6" s="42"/>
      <c r="K6" s="44"/>
      <c r="L6" s="42"/>
      <c r="M6" s="47" t="str">
        <f t="shared" ref="M6:M69" si="1">IF(ISBLANK(E6), "", #REF! &amp; " " &amp; TEXT(E6, "DD-MM-YYYY") &amp; " " &amp; "Centro Martita Australis")</f>
        <v/>
      </c>
    </row>
    <row r="7" ht="22.5" customHeight="1">
      <c r="A7" s="39"/>
      <c r="B7" s="40"/>
      <c r="C7" s="42"/>
      <c r="D7" s="42"/>
      <c r="E7" s="42"/>
      <c r="F7" s="17"/>
      <c r="G7" s="40"/>
      <c r="H7" s="43"/>
      <c r="I7" s="42"/>
      <c r="J7" s="42"/>
      <c r="K7" s="44"/>
      <c r="L7" s="42"/>
      <c r="M7" s="47" t="str">
        <f t="shared" si="1"/>
        <v/>
      </c>
    </row>
    <row r="8" ht="22.5" customHeight="1">
      <c r="A8" s="39"/>
      <c r="B8" s="40"/>
      <c r="C8" s="42"/>
      <c r="D8" s="42"/>
      <c r="E8" s="42"/>
      <c r="F8" s="17"/>
      <c r="G8" s="40"/>
      <c r="H8" s="43"/>
      <c r="I8" s="42"/>
      <c r="J8" s="42"/>
      <c r="K8" s="44"/>
      <c r="L8" s="42"/>
      <c r="M8" s="47" t="str">
        <f t="shared" si="1"/>
        <v/>
      </c>
    </row>
    <row r="9" ht="22.5" customHeight="1">
      <c r="A9" s="39"/>
      <c r="B9" s="40"/>
      <c r="C9" s="42"/>
      <c r="D9" s="42"/>
      <c r="E9" s="42"/>
      <c r="F9" s="17"/>
      <c r="G9" s="40"/>
      <c r="H9" s="43"/>
      <c r="I9" s="42"/>
      <c r="J9" s="42"/>
      <c r="K9" s="44"/>
      <c r="L9" s="42"/>
      <c r="M9" s="47" t="str">
        <f t="shared" si="1"/>
        <v/>
      </c>
    </row>
    <row r="10" ht="22.5" customHeight="1">
      <c r="A10" s="39"/>
      <c r="B10" s="40"/>
      <c r="C10" s="42"/>
      <c r="D10" s="42"/>
      <c r="E10" s="42"/>
      <c r="F10" s="17"/>
      <c r="G10" s="40"/>
      <c r="H10" s="43"/>
      <c r="I10" s="42"/>
      <c r="J10" s="42"/>
      <c r="K10" s="44"/>
      <c r="L10" s="42"/>
      <c r="M10" s="47" t="str">
        <f t="shared" si="1"/>
        <v/>
      </c>
    </row>
    <row r="11" ht="22.5" customHeight="1">
      <c r="A11" s="39"/>
      <c r="B11" s="40"/>
      <c r="C11" s="42"/>
      <c r="D11" s="42"/>
      <c r="E11" s="42"/>
      <c r="F11" s="17"/>
      <c r="G11" s="40"/>
      <c r="H11" s="43"/>
      <c r="I11" s="42"/>
      <c r="J11" s="42"/>
      <c r="K11" s="44"/>
      <c r="L11" s="42"/>
      <c r="M11" s="47" t="str">
        <f t="shared" si="1"/>
        <v/>
      </c>
    </row>
    <row r="12" ht="22.5" customHeight="1">
      <c r="A12" s="39"/>
      <c r="B12" s="40"/>
      <c r="C12" s="42"/>
      <c r="D12" s="42"/>
      <c r="E12" s="42"/>
      <c r="F12" s="17"/>
      <c r="G12" s="40"/>
      <c r="H12" s="43"/>
      <c r="I12" s="42"/>
      <c r="J12" s="42"/>
      <c r="K12" s="44"/>
      <c r="L12" s="42"/>
      <c r="M12" s="47" t="str">
        <f t="shared" si="1"/>
        <v/>
      </c>
    </row>
    <row r="13" ht="22.5" customHeight="1">
      <c r="A13" s="39"/>
      <c r="B13" s="40"/>
      <c r="C13" s="42"/>
      <c r="D13" s="42"/>
      <c r="E13" s="42"/>
      <c r="F13" s="17"/>
      <c r="G13" s="40"/>
      <c r="H13" s="43"/>
      <c r="I13" s="42"/>
      <c r="J13" s="42"/>
      <c r="K13" s="44"/>
      <c r="L13" s="42"/>
      <c r="M13" s="47" t="str">
        <f t="shared" si="1"/>
        <v/>
      </c>
    </row>
    <row r="14" ht="22.5" customHeight="1">
      <c r="A14" s="39"/>
      <c r="B14" s="40"/>
      <c r="C14" s="42"/>
      <c r="D14" s="42"/>
      <c r="E14" s="42"/>
      <c r="F14" s="17"/>
      <c r="G14" s="40"/>
      <c r="H14" s="43"/>
      <c r="I14" s="42"/>
      <c r="J14" s="42"/>
      <c r="K14" s="44"/>
      <c r="L14" s="42"/>
      <c r="M14" s="47" t="str">
        <f t="shared" si="1"/>
        <v/>
      </c>
    </row>
    <row r="15" ht="22.5" customHeight="1">
      <c r="A15" s="39"/>
      <c r="B15" s="40"/>
      <c r="C15" s="42"/>
      <c r="D15" s="42"/>
      <c r="E15" s="42"/>
      <c r="F15" s="17"/>
      <c r="G15" s="40"/>
      <c r="H15" s="43"/>
      <c r="I15" s="42"/>
      <c r="J15" s="42"/>
      <c r="K15" s="44"/>
      <c r="L15" s="42"/>
      <c r="M15" s="47" t="str">
        <f t="shared" si="1"/>
        <v/>
      </c>
    </row>
    <row r="16" ht="22.5" customHeight="1">
      <c r="A16" s="39"/>
      <c r="B16" s="40"/>
      <c r="C16" s="42"/>
      <c r="D16" s="42"/>
      <c r="E16" s="42"/>
      <c r="F16" s="17"/>
      <c r="G16" s="40"/>
      <c r="H16" s="43"/>
      <c r="I16" s="42"/>
      <c r="J16" s="42"/>
      <c r="K16" s="44"/>
      <c r="L16" s="42"/>
      <c r="M16" s="47" t="str">
        <f t="shared" si="1"/>
        <v/>
      </c>
    </row>
    <row r="17" ht="22.5" customHeight="1">
      <c r="A17" s="39"/>
      <c r="B17" s="40"/>
      <c r="C17" s="42"/>
      <c r="D17" s="42"/>
      <c r="E17" s="42"/>
      <c r="F17" s="17"/>
      <c r="G17" s="40"/>
      <c r="H17" s="43"/>
      <c r="I17" s="42"/>
      <c r="J17" s="42"/>
      <c r="K17" s="44"/>
      <c r="L17" s="42"/>
      <c r="M17" s="47" t="str">
        <f t="shared" si="1"/>
        <v/>
      </c>
    </row>
    <row r="18" ht="22.5" customHeight="1">
      <c r="A18" s="39"/>
      <c r="B18" s="40"/>
      <c r="C18" s="42"/>
      <c r="D18" s="42"/>
      <c r="E18" s="42"/>
      <c r="F18" s="17"/>
      <c r="G18" s="40"/>
      <c r="H18" s="43"/>
      <c r="I18" s="42"/>
      <c r="J18" s="42"/>
      <c r="K18" s="44"/>
      <c r="L18" s="42"/>
      <c r="M18" s="47" t="str">
        <f t="shared" si="1"/>
        <v/>
      </c>
    </row>
    <row r="19" ht="22.5" customHeight="1">
      <c r="A19" s="39"/>
      <c r="B19" s="40"/>
      <c r="C19" s="42"/>
      <c r="D19" s="42"/>
      <c r="E19" s="42"/>
      <c r="F19" s="17"/>
      <c r="G19" s="40"/>
      <c r="H19" s="43"/>
      <c r="I19" s="42"/>
      <c r="J19" s="42"/>
      <c r="K19" s="44"/>
      <c r="L19" s="42"/>
      <c r="M19" s="47" t="str">
        <f t="shared" si="1"/>
        <v/>
      </c>
    </row>
    <row r="20" ht="22.5" customHeight="1">
      <c r="A20" s="39"/>
      <c r="B20" s="40"/>
      <c r="C20" s="42"/>
      <c r="D20" s="42"/>
      <c r="E20" s="42"/>
      <c r="F20" s="17"/>
      <c r="G20" s="40"/>
      <c r="H20" s="43"/>
      <c r="I20" s="42"/>
      <c r="J20" s="42"/>
      <c r="K20" s="44"/>
      <c r="L20" s="42"/>
      <c r="M20" s="47" t="str">
        <f t="shared" si="1"/>
        <v/>
      </c>
    </row>
    <row r="21" ht="22.5" customHeight="1">
      <c r="A21" s="39"/>
      <c r="B21" s="40"/>
      <c r="C21" s="42"/>
      <c r="D21" s="42"/>
      <c r="E21" s="42"/>
      <c r="F21" s="17"/>
      <c r="G21" s="40"/>
      <c r="H21" s="43"/>
      <c r="I21" s="42"/>
      <c r="J21" s="42"/>
      <c r="K21" s="44"/>
      <c r="L21" s="42"/>
      <c r="M21" s="47" t="str">
        <f t="shared" si="1"/>
        <v/>
      </c>
    </row>
    <row r="22" ht="22.5" customHeight="1">
      <c r="A22" s="39"/>
      <c r="B22" s="40"/>
      <c r="C22" s="42"/>
      <c r="D22" s="42"/>
      <c r="E22" s="42"/>
      <c r="F22" s="17"/>
      <c r="G22" s="40"/>
      <c r="H22" s="43"/>
      <c r="I22" s="42"/>
      <c r="J22" s="42"/>
      <c r="K22" s="44"/>
      <c r="L22" s="42"/>
      <c r="M22" s="47" t="str">
        <f t="shared" si="1"/>
        <v/>
      </c>
    </row>
    <row r="23" ht="22.5" customHeight="1">
      <c r="A23" s="39"/>
      <c r="B23" s="40"/>
      <c r="C23" s="42"/>
      <c r="D23" s="42"/>
      <c r="E23" s="42"/>
      <c r="F23" s="17"/>
      <c r="G23" s="40"/>
      <c r="H23" s="43"/>
      <c r="I23" s="42"/>
      <c r="J23" s="42"/>
      <c r="K23" s="44"/>
      <c r="L23" s="42"/>
      <c r="M23" s="47" t="str">
        <f t="shared" si="1"/>
        <v/>
      </c>
    </row>
    <row r="24" ht="22.5" customHeight="1">
      <c r="A24" s="39"/>
      <c r="B24" s="40"/>
      <c r="C24" s="42"/>
      <c r="D24" s="42"/>
      <c r="E24" s="42"/>
      <c r="F24" s="17"/>
      <c r="G24" s="40"/>
      <c r="H24" s="43"/>
      <c r="I24" s="42"/>
      <c r="J24" s="42"/>
      <c r="K24" s="44"/>
      <c r="L24" s="42"/>
      <c r="M24" s="47" t="str">
        <f t="shared" si="1"/>
        <v/>
      </c>
    </row>
    <row r="25" ht="22.5" customHeight="1">
      <c r="A25" s="39"/>
      <c r="B25" s="40"/>
      <c r="C25" s="42"/>
      <c r="D25" s="42"/>
      <c r="E25" s="42"/>
      <c r="F25" s="17"/>
      <c r="G25" s="40"/>
      <c r="H25" s="43"/>
      <c r="I25" s="42"/>
      <c r="J25" s="42"/>
      <c r="K25" s="44"/>
      <c r="L25" s="42"/>
      <c r="M25" s="47" t="str">
        <f t="shared" si="1"/>
        <v/>
      </c>
    </row>
    <row r="26" ht="22.5" customHeight="1">
      <c r="A26" s="39"/>
      <c r="B26" s="40"/>
      <c r="C26" s="42"/>
      <c r="D26" s="42"/>
      <c r="E26" s="42"/>
      <c r="F26" s="17"/>
      <c r="G26" s="40"/>
      <c r="H26" s="43"/>
      <c r="I26" s="42"/>
      <c r="J26" s="42"/>
      <c r="K26" s="44"/>
      <c r="L26" s="42"/>
      <c r="M26" s="47" t="str">
        <f t="shared" si="1"/>
        <v/>
      </c>
    </row>
    <row r="27" ht="22.5" customHeight="1">
      <c r="A27" s="39"/>
      <c r="B27" s="40"/>
      <c r="C27" s="42"/>
      <c r="D27" s="42"/>
      <c r="E27" s="42"/>
      <c r="F27" s="17"/>
      <c r="G27" s="40"/>
      <c r="H27" s="43"/>
      <c r="I27" s="42"/>
      <c r="J27" s="42"/>
      <c r="K27" s="44"/>
      <c r="L27" s="42"/>
      <c r="M27" s="47" t="str">
        <f t="shared" si="1"/>
        <v/>
      </c>
    </row>
    <row r="28" ht="22.5" customHeight="1">
      <c r="A28" s="39"/>
      <c r="B28" s="40"/>
      <c r="C28" s="42"/>
      <c r="D28" s="42"/>
      <c r="E28" s="42"/>
      <c r="F28" s="17"/>
      <c r="G28" s="40"/>
      <c r="H28" s="43"/>
      <c r="I28" s="42"/>
      <c r="J28" s="42"/>
      <c r="K28" s="44"/>
      <c r="L28" s="42"/>
      <c r="M28" s="47" t="str">
        <f t="shared" si="1"/>
        <v/>
      </c>
    </row>
    <row r="29" ht="22.5" customHeight="1">
      <c r="A29" s="39"/>
      <c r="B29" s="40"/>
      <c r="C29" s="42"/>
      <c r="D29" s="42"/>
      <c r="E29" s="42"/>
      <c r="F29" s="17"/>
      <c r="G29" s="40"/>
      <c r="H29" s="43"/>
      <c r="I29" s="42"/>
      <c r="J29" s="42"/>
      <c r="K29" s="44"/>
      <c r="L29" s="42"/>
      <c r="M29" s="47" t="str">
        <f t="shared" si="1"/>
        <v/>
      </c>
    </row>
    <row r="30" ht="22.5" customHeight="1">
      <c r="A30" s="39"/>
      <c r="B30" s="40"/>
      <c r="C30" s="42"/>
      <c r="D30" s="42"/>
      <c r="E30" s="42"/>
      <c r="F30" s="17"/>
      <c r="G30" s="40"/>
      <c r="H30" s="43"/>
      <c r="I30" s="42"/>
      <c r="J30" s="42"/>
      <c r="K30" s="44"/>
      <c r="L30" s="42"/>
      <c r="M30" s="47" t="str">
        <f t="shared" si="1"/>
        <v/>
      </c>
    </row>
    <row r="31" ht="22.5" customHeight="1">
      <c r="A31" s="39"/>
      <c r="B31" s="40"/>
      <c r="C31" s="42"/>
      <c r="D31" s="42"/>
      <c r="E31" s="42"/>
      <c r="F31" s="17"/>
      <c r="G31" s="40"/>
      <c r="H31" s="43"/>
      <c r="I31" s="42"/>
      <c r="J31" s="42"/>
      <c r="K31" s="44"/>
      <c r="L31" s="42"/>
      <c r="M31" s="47" t="str">
        <f t="shared" si="1"/>
        <v/>
      </c>
    </row>
    <row r="32" ht="22.5" customHeight="1">
      <c r="A32" s="39"/>
      <c r="B32" s="40"/>
      <c r="C32" s="42"/>
      <c r="D32" s="42"/>
      <c r="E32" s="42"/>
      <c r="F32" s="17"/>
      <c r="G32" s="40"/>
      <c r="H32" s="43"/>
      <c r="I32" s="42"/>
      <c r="J32" s="42"/>
      <c r="K32" s="44"/>
      <c r="L32" s="42"/>
      <c r="M32" s="47" t="str">
        <f t="shared" si="1"/>
        <v/>
      </c>
    </row>
    <row r="33" ht="22.5" customHeight="1">
      <c r="A33" s="39"/>
      <c r="B33" s="40"/>
      <c r="C33" s="42"/>
      <c r="D33" s="42"/>
      <c r="E33" s="42"/>
      <c r="F33" s="17"/>
      <c r="G33" s="40"/>
      <c r="H33" s="43"/>
      <c r="I33" s="42"/>
      <c r="J33" s="42"/>
      <c r="K33" s="44"/>
      <c r="L33" s="42"/>
      <c r="M33" s="47" t="str">
        <f t="shared" si="1"/>
        <v/>
      </c>
    </row>
    <row r="34" ht="22.5" customHeight="1">
      <c r="A34" s="39"/>
      <c r="B34" s="40"/>
      <c r="C34" s="42"/>
      <c r="D34" s="42"/>
      <c r="E34" s="42"/>
      <c r="F34" s="17"/>
      <c r="G34" s="40"/>
      <c r="H34" s="43"/>
      <c r="I34" s="42"/>
      <c r="J34" s="42"/>
      <c r="K34" s="44"/>
      <c r="L34" s="42"/>
      <c r="M34" s="47" t="str">
        <f t="shared" si="1"/>
        <v/>
      </c>
    </row>
    <row r="35" ht="22.5" customHeight="1">
      <c r="A35" s="39"/>
      <c r="B35" s="40"/>
      <c r="C35" s="42"/>
      <c r="D35" s="42"/>
      <c r="E35" s="42"/>
      <c r="F35" s="17"/>
      <c r="G35" s="40"/>
      <c r="H35" s="43"/>
      <c r="I35" s="42"/>
      <c r="J35" s="42"/>
      <c r="K35" s="44"/>
      <c r="L35" s="42"/>
      <c r="M35" s="47" t="str">
        <f t="shared" si="1"/>
        <v/>
      </c>
    </row>
    <row r="36" ht="22.5" customHeight="1">
      <c r="A36" s="39"/>
      <c r="B36" s="40"/>
      <c r="C36" s="42"/>
      <c r="D36" s="42"/>
      <c r="E36" s="42"/>
      <c r="F36" s="17"/>
      <c r="G36" s="40"/>
      <c r="H36" s="43"/>
      <c r="I36" s="42"/>
      <c r="J36" s="42"/>
      <c r="K36" s="44"/>
      <c r="L36" s="42"/>
      <c r="M36" s="47" t="str">
        <f t="shared" si="1"/>
        <v/>
      </c>
    </row>
    <row r="37" ht="22.5" customHeight="1">
      <c r="A37" s="39"/>
      <c r="B37" s="40"/>
      <c r="C37" s="42"/>
      <c r="D37" s="42"/>
      <c r="E37" s="42"/>
      <c r="F37" s="17"/>
      <c r="G37" s="40"/>
      <c r="H37" s="43"/>
      <c r="I37" s="42"/>
      <c r="J37" s="42"/>
      <c r="K37" s="44"/>
      <c r="L37" s="42"/>
      <c r="M37" s="47" t="str">
        <f t="shared" si="1"/>
        <v/>
      </c>
    </row>
    <row r="38" ht="22.5" customHeight="1">
      <c r="A38" s="39"/>
      <c r="B38" s="40"/>
      <c r="C38" s="42"/>
      <c r="D38" s="42"/>
      <c r="E38" s="42"/>
      <c r="F38" s="17"/>
      <c r="G38" s="40"/>
      <c r="H38" s="43"/>
      <c r="I38" s="42"/>
      <c r="J38" s="42"/>
      <c r="K38" s="44"/>
      <c r="L38" s="42"/>
      <c r="M38" s="47" t="str">
        <f t="shared" si="1"/>
        <v/>
      </c>
    </row>
    <row r="39" ht="22.5" customHeight="1">
      <c r="A39" s="39"/>
      <c r="B39" s="40"/>
      <c r="C39" s="42"/>
      <c r="D39" s="42"/>
      <c r="E39" s="42"/>
      <c r="F39" s="17"/>
      <c r="G39" s="40"/>
      <c r="H39" s="43"/>
      <c r="I39" s="42"/>
      <c r="J39" s="42"/>
      <c r="K39" s="44"/>
      <c r="L39" s="42"/>
      <c r="M39" s="47" t="str">
        <f t="shared" si="1"/>
        <v/>
      </c>
    </row>
    <row r="40" ht="22.5" customHeight="1">
      <c r="A40" s="39"/>
      <c r="B40" s="40"/>
      <c r="C40" s="42"/>
      <c r="D40" s="42"/>
      <c r="E40" s="42"/>
      <c r="F40" s="17"/>
      <c r="G40" s="40"/>
      <c r="H40" s="43"/>
      <c r="I40" s="42"/>
      <c r="J40" s="42"/>
      <c r="K40" s="44"/>
      <c r="L40" s="42"/>
      <c r="M40" s="47" t="str">
        <f t="shared" si="1"/>
        <v/>
      </c>
    </row>
    <row r="41" ht="22.5" customHeight="1">
      <c r="A41" s="39"/>
      <c r="B41" s="40"/>
      <c r="C41" s="42"/>
      <c r="D41" s="42"/>
      <c r="E41" s="42"/>
      <c r="F41" s="17"/>
      <c r="G41" s="40"/>
      <c r="H41" s="43"/>
      <c r="I41" s="42"/>
      <c r="J41" s="42"/>
      <c r="K41" s="44"/>
      <c r="L41" s="42"/>
      <c r="M41" s="47" t="str">
        <f t="shared" si="1"/>
        <v/>
      </c>
    </row>
    <row r="42" ht="22.5" customHeight="1">
      <c r="A42" s="39"/>
      <c r="B42" s="40"/>
      <c r="C42" s="42"/>
      <c r="D42" s="42"/>
      <c r="E42" s="42"/>
      <c r="F42" s="17"/>
      <c r="G42" s="40"/>
      <c r="H42" s="43"/>
      <c r="I42" s="42"/>
      <c r="J42" s="42"/>
      <c r="K42" s="44"/>
      <c r="L42" s="42"/>
      <c r="M42" s="47" t="str">
        <f t="shared" si="1"/>
        <v/>
      </c>
    </row>
    <row r="43" ht="22.5" customHeight="1">
      <c r="A43" s="39"/>
      <c r="B43" s="40"/>
      <c r="C43" s="42"/>
      <c r="D43" s="42"/>
      <c r="E43" s="42"/>
      <c r="F43" s="17"/>
      <c r="G43" s="40"/>
      <c r="H43" s="43"/>
      <c r="I43" s="42"/>
      <c r="J43" s="42"/>
      <c r="K43" s="44"/>
      <c r="L43" s="42"/>
      <c r="M43" s="47" t="str">
        <f t="shared" si="1"/>
        <v/>
      </c>
    </row>
    <row r="44" ht="22.5" customHeight="1">
      <c r="A44" s="39"/>
      <c r="B44" s="40"/>
      <c r="C44" s="42"/>
      <c r="D44" s="42"/>
      <c r="E44" s="42"/>
      <c r="F44" s="17"/>
      <c r="G44" s="40"/>
      <c r="H44" s="43"/>
      <c r="I44" s="42"/>
      <c r="J44" s="42"/>
      <c r="K44" s="44"/>
      <c r="L44" s="42"/>
      <c r="M44" s="47" t="str">
        <f t="shared" si="1"/>
        <v/>
      </c>
    </row>
    <row r="45" ht="22.5" customHeight="1">
      <c r="A45" s="39"/>
      <c r="B45" s="40"/>
      <c r="C45" s="42"/>
      <c r="D45" s="42"/>
      <c r="E45" s="42"/>
      <c r="F45" s="17"/>
      <c r="G45" s="40"/>
      <c r="H45" s="43"/>
      <c r="I45" s="42"/>
      <c r="J45" s="42"/>
      <c r="K45" s="44"/>
      <c r="L45" s="42"/>
      <c r="M45" s="47" t="str">
        <f t="shared" si="1"/>
        <v/>
      </c>
    </row>
    <row r="46" ht="22.5" customHeight="1">
      <c r="A46" s="39"/>
      <c r="B46" s="40"/>
      <c r="C46" s="42"/>
      <c r="D46" s="42"/>
      <c r="E46" s="42"/>
      <c r="F46" s="17"/>
      <c r="G46" s="40"/>
      <c r="H46" s="43"/>
      <c r="I46" s="42"/>
      <c r="J46" s="42"/>
      <c r="K46" s="44"/>
      <c r="L46" s="42"/>
      <c r="M46" s="47" t="str">
        <f t="shared" si="1"/>
        <v/>
      </c>
    </row>
    <row r="47" ht="22.5" customHeight="1">
      <c r="A47" s="39"/>
      <c r="B47" s="40"/>
      <c r="C47" s="42"/>
      <c r="D47" s="42"/>
      <c r="E47" s="42"/>
      <c r="F47" s="17"/>
      <c r="G47" s="40"/>
      <c r="H47" s="43"/>
      <c r="I47" s="42"/>
      <c r="J47" s="42"/>
      <c r="K47" s="44"/>
      <c r="L47" s="42"/>
      <c r="M47" s="47" t="str">
        <f t="shared" si="1"/>
        <v/>
      </c>
    </row>
    <row r="48" ht="22.5" customHeight="1">
      <c r="A48" s="39"/>
      <c r="B48" s="40"/>
      <c r="C48" s="42"/>
      <c r="D48" s="42"/>
      <c r="E48" s="42"/>
      <c r="F48" s="17"/>
      <c r="G48" s="40"/>
      <c r="H48" s="43"/>
      <c r="I48" s="42"/>
      <c r="J48" s="42"/>
      <c r="K48" s="44"/>
      <c r="L48" s="42"/>
      <c r="M48" s="47" t="str">
        <f t="shared" si="1"/>
        <v/>
      </c>
    </row>
    <row r="49" ht="22.5" customHeight="1">
      <c r="A49" s="39"/>
      <c r="B49" s="40"/>
      <c r="C49" s="42"/>
      <c r="D49" s="42"/>
      <c r="E49" s="42"/>
      <c r="F49" s="17"/>
      <c r="G49" s="40"/>
      <c r="H49" s="43"/>
      <c r="I49" s="42"/>
      <c r="J49" s="42"/>
      <c r="K49" s="44"/>
      <c r="L49" s="42"/>
      <c r="M49" s="47" t="str">
        <f t="shared" si="1"/>
        <v/>
      </c>
    </row>
    <row r="50" ht="22.5" customHeight="1">
      <c r="A50" s="39"/>
      <c r="B50" s="40"/>
      <c r="C50" s="42"/>
      <c r="D50" s="42"/>
      <c r="E50" s="42"/>
      <c r="F50" s="17"/>
      <c r="G50" s="40"/>
      <c r="H50" s="43"/>
      <c r="I50" s="42"/>
      <c r="J50" s="42"/>
      <c r="K50" s="44"/>
      <c r="L50" s="42"/>
      <c r="M50" s="47" t="str">
        <f t="shared" si="1"/>
        <v/>
      </c>
    </row>
    <row r="51" ht="22.5" customHeight="1">
      <c r="A51" s="39"/>
      <c r="B51" s="40"/>
      <c r="C51" s="42"/>
      <c r="D51" s="42"/>
      <c r="E51" s="42"/>
      <c r="F51" s="17"/>
      <c r="G51" s="40"/>
      <c r="H51" s="43"/>
      <c r="I51" s="42"/>
      <c r="J51" s="42"/>
      <c r="K51" s="44"/>
      <c r="L51" s="42"/>
      <c r="M51" s="47" t="str">
        <f t="shared" si="1"/>
        <v/>
      </c>
    </row>
    <row r="52" ht="22.5" customHeight="1">
      <c r="A52" s="39"/>
      <c r="B52" s="40"/>
      <c r="C52" s="42"/>
      <c r="D52" s="42"/>
      <c r="E52" s="42"/>
      <c r="F52" s="17"/>
      <c r="G52" s="40"/>
      <c r="H52" s="43"/>
      <c r="I52" s="42"/>
      <c r="J52" s="42"/>
      <c r="K52" s="44"/>
      <c r="L52" s="42"/>
      <c r="M52" s="47" t="str">
        <f t="shared" si="1"/>
        <v/>
      </c>
    </row>
    <row r="53" ht="22.5" customHeight="1">
      <c r="A53" s="39"/>
      <c r="B53" s="40"/>
      <c r="C53" s="42"/>
      <c r="D53" s="42"/>
      <c r="E53" s="42"/>
      <c r="F53" s="17"/>
      <c r="G53" s="40"/>
      <c r="H53" s="43"/>
      <c r="I53" s="42"/>
      <c r="J53" s="42"/>
      <c r="K53" s="44"/>
      <c r="L53" s="42"/>
      <c r="M53" s="47" t="str">
        <f t="shared" si="1"/>
        <v/>
      </c>
    </row>
    <row r="54" ht="22.5" customHeight="1">
      <c r="A54" s="39"/>
      <c r="B54" s="40"/>
      <c r="C54" s="42"/>
      <c r="D54" s="42"/>
      <c r="E54" s="42"/>
      <c r="F54" s="17"/>
      <c r="G54" s="40"/>
      <c r="H54" s="43"/>
      <c r="I54" s="42"/>
      <c r="J54" s="42"/>
      <c r="K54" s="44"/>
      <c r="L54" s="42"/>
      <c r="M54" s="47" t="str">
        <f t="shared" si="1"/>
        <v/>
      </c>
    </row>
    <row r="55" ht="22.5" customHeight="1">
      <c r="A55" s="39"/>
      <c r="B55" s="40"/>
      <c r="C55" s="42"/>
      <c r="D55" s="42"/>
      <c r="E55" s="42"/>
      <c r="F55" s="17"/>
      <c r="G55" s="40"/>
      <c r="H55" s="43"/>
      <c r="I55" s="42"/>
      <c r="J55" s="42"/>
      <c r="K55" s="44"/>
      <c r="L55" s="42"/>
      <c r="M55" s="47" t="str">
        <f t="shared" si="1"/>
        <v/>
      </c>
    </row>
    <row r="56" ht="22.5" customHeight="1">
      <c r="A56" s="39"/>
      <c r="B56" s="40"/>
      <c r="C56" s="42"/>
      <c r="D56" s="42"/>
      <c r="E56" s="42"/>
      <c r="F56" s="17"/>
      <c r="G56" s="40"/>
      <c r="H56" s="43"/>
      <c r="I56" s="42"/>
      <c r="J56" s="42"/>
      <c r="K56" s="44"/>
      <c r="L56" s="42"/>
      <c r="M56" s="47" t="str">
        <f t="shared" si="1"/>
        <v/>
      </c>
    </row>
    <row r="57" ht="22.5" customHeight="1">
      <c r="A57" s="39"/>
      <c r="B57" s="40"/>
      <c r="C57" s="42"/>
      <c r="D57" s="42"/>
      <c r="E57" s="42"/>
      <c r="F57" s="17"/>
      <c r="G57" s="40"/>
      <c r="H57" s="43"/>
      <c r="I57" s="42"/>
      <c r="J57" s="42"/>
      <c r="K57" s="44"/>
      <c r="L57" s="42"/>
      <c r="M57" s="47" t="str">
        <f t="shared" si="1"/>
        <v/>
      </c>
    </row>
    <row r="58" ht="22.5" customHeight="1">
      <c r="A58" s="39"/>
      <c r="B58" s="40"/>
      <c r="C58" s="42"/>
      <c r="D58" s="42"/>
      <c r="E58" s="42"/>
      <c r="F58" s="17"/>
      <c r="G58" s="40"/>
      <c r="H58" s="43"/>
      <c r="I58" s="42"/>
      <c r="J58" s="42"/>
      <c r="K58" s="44"/>
      <c r="L58" s="42"/>
      <c r="M58" s="47" t="str">
        <f t="shared" si="1"/>
        <v/>
      </c>
    </row>
    <row r="59" ht="22.5" customHeight="1">
      <c r="A59" s="39"/>
      <c r="B59" s="40"/>
      <c r="C59" s="42"/>
      <c r="D59" s="42"/>
      <c r="E59" s="42"/>
      <c r="F59" s="17"/>
      <c r="G59" s="40"/>
      <c r="H59" s="43"/>
      <c r="I59" s="42"/>
      <c r="J59" s="42"/>
      <c r="K59" s="44"/>
      <c r="L59" s="42"/>
      <c r="M59" s="47" t="str">
        <f t="shared" si="1"/>
        <v/>
      </c>
    </row>
    <row r="60" ht="22.5" customHeight="1">
      <c r="A60" s="39"/>
      <c r="B60" s="40"/>
      <c r="C60" s="42"/>
      <c r="D60" s="42"/>
      <c r="E60" s="42"/>
      <c r="F60" s="17"/>
      <c r="G60" s="40"/>
      <c r="H60" s="43"/>
      <c r="I60" s="42"/>
      <c r="J60" s="42"/>
      <c r="K60" s="44"/>
      <c r="L60" s="42"/>
      <c r="M60" s="47" t="str">
        <f t="shared" si="1"/>
        <v/>
      </c>
    </row>
    <row r="61" ht="22.5" customHeight="1">
      <c r="A61" s="39"/>
      <c r="B61" s="40"/>
      <c r="C61" s="42"/>
      <c r="D61" s="42"/>
      <c r="E61" s="42"/>
      <c r="F61" s="17"/>
      <c r="G61" s="40"/>
      <c r="H61" s="43"/>
      <c r="I61" s="42"/>
      <c r="J61" s="42"/>
      <c r="K61" s="44"/>
      <c r="L61" s="42"/>
      <c r="M61" s="47" t="str">
        <f t="shared" si="1"/>
        <v/>
      </c>
    </row>
    <row r="62" ht="22.5" customHeight="1">
      <c r="A62" s="39"/>
      <c r="B62" s="40"/>
      <c r="C62" s="42"/>
      <c r="D62" s="42"/>
      <c r="E62" s="42"/>
      <c r="F62" s="17"/>
      <c r="G62" s="40"/>
      <c r="H62" s="43"/>
      <c r="I62" s="42"/>
      <c r="J62" s="42"/>
      <c r="K62" s="44"/>
      <c r="L62" s="42"/>
      <c r="M62" s="47" t="str">
        <f t="shared" si="1"/>
        <v/>
      </c>
    </row>
    <row r="63" ht="22.5" customHeight="1">
      <c r="A63" s="39"/>
      <c r="B63" s="40"/>
      <c r="C63" s="42"/>
      <c r="D63" s="42"/>
      <c r="E63" s="42"/>
      <c r="F63" s="17"/>
      <c r="G63" s="40"/>
      <c r="H63" s="43"/>
      <c r="I63" s="42"/>
      <c r="J63" s="42"/>
      <c r="K63" s="44"/>
      <c r="L63" s="42"/>
      <c r="M63" s="47" t="str">
        <f t="shared" si="1"/>
        <v/>
      </c>
    </row>
    <row r="64" ht="22.5" customHeight="1">
      <c r="A64" s="39"/>
      <c r="B64" s="40"/>
      <c r="C64" s="42"/>
      <c r="D64" s="42"/>
      <c r="E64" s="42"/>
      <c r="F64" s="17"/>
      <c r="G64" s="40"/>
      <c r="H64" s="43"/>
      <c r="I64" s="42"/>
      <c r="J64" s="42"/>
      <c r="K64" s="44"/>
      <c r="L64" s="42"/>
      <c r="M64" s="47" t="str">
        <f t="shared" si="1"/>
        <v/>
      </c>
    </row>
    <row r="65" ht="22.5" customHeight="1">
      <c r="A65" s="39"/>
      <c r="B65" s="40"/>
      <c r="C65" s="42"/>
      <c r="D65" s="42"/>
      <c r="E65" s="42"/>
      <c r="F65" s="17"/>
      <c r="G65" s="40"/>
      <c r="H65" s="43"/>
      <c r="I65" s="42"/>
      <c r="J65" s="42"/>
      <c r="K65" s="44"/>
      <c r="L65" s="42"/>
      <c r="M65" s="47" t="str">
        <f t="shared" si="1"/>
        <v/>
      </c>
    </row>
    <row r="66" ht="22.5" customHeight="1">
      <c r="A66" s="39"/>
      <c r="B66" s="40"/>
      <c r="C66" s="42"/>
      <c r="D66" s="42"/>
      <c r="E66" s="42"/>
      <c r="F66" s="17"/>
      <c r="G66" s="40"/>
      <c r="H66" s="43"/>
      <c r="I66" s="42"/>
      <c r="J66" s="42"/>
      <c r="K66" s="44"/>
      <c r="L66" s="42"/>
      <c r="M66" s="47" t="str">
        <f t="shared" si="1"/>
        <v/>
      </c>
    </row>
    <row r="67" ht="22.5" customHeight="1">
      <c r="A67" s="39"/>
      <c r="B67" s="40"/>
      <c r="C67" s="42"/>
      <c r="D67" s="42"/>
      <c r="E67" s="42"/>
      <c r="F67" s="17"/>
      <c r="G67" s="40"/>
      <c r="H67" s="43"/>
      <c r="I67" s="42"/>
      <c r="J67" s="42"/>
      <c r="K67" s="44"/>
      <c r="L67" s="42"/>
      <c r="M67" s="47" t="str">
        <f t="shared" si="1"/>
        <v/>
      </c>
    </row>
    <row r="68" ht="22.5" customHeight="1">
      <c r="A68" s="39"/>
      <c r="B68" s="40"/>
      <c r="C68" s="42"/>
      <c r="D68" s="42"/>
      <c r="E68" s="42"/>
      <c r="F68" s="17"/>
      <c r="G68" s="40"/>
      <c r="H68" s="43"/>
      <c r="I68" s="42"/>
      <c r="J68" s="42"/>
      <c r="K68" s="44"/>
      <c r="L68" s="42"/>
      <c r="M68" s="47" t="str">
        <f t="shared" si="1"/>
        <v/>
      </c>
    </row>
    <row r="69" ht="22.5" customHeight="1">
      <c r="A69" s="39"/>
      <c r="B69" s="40"/>
      <c r="C69" s="42"/>
      <c r="D69" s="42"/>
      <c r="E69" s="42"/>
      <c r="F69" s="17"/>
      <c r="G69" s="40"/>
      <c r="H69" s="43"/>
      <c r="I69" s="42"/>
      <c r="J69" s="42"/>
      <c r="K69" s="44"/>
      <c r="L69" s="42"/>
      <c r="M69" s="47" t="str">
        <f t="shared" si="1"/>
        <v/>
      </c>
    </row>
  </sheetData>
  <mergeCells count="2">
    <mergeCell ref="B1:G1"/>
    <mergeCell ref="K1:M1"/>
  </mergeCells>
  <conditionalFormatting sqref="M3:M5">
    <cfRule type="notContainsBlanks" dxfId="5" priority="1">
      <formula>LEN(TRIM(M3))&gt;0</formula>
    </cfRule>
  </conditionalFormatting>
  <conditionalFormatting sqref="B3:B69">
    <cfRule type="cellIs" dxfId="5" priority="2" operator="between">
      <formula>100</formula>
      <formula>1500</formula>
    </cfRule>
  </conditionalFormatting>
  <dataValidations>
    <dataValidation type="list" allowBlank="1" sqref="I3:J69 L3:L69">
      <formula1>"Sí,No"</formula1>
    </dataValidation>
    <dataValidation type="custom" allowBlank="1" showDropDown="1" sqref="F3:F69">
      <formula1>OR(NOT(ISERROR(DATEVALUE(F3))), AND(ISNUMBER(F3), LEFT(CELL("format", F3))="D"))</formula1>
    </dataValidation>
    <dataValidation type="list" allowBlank="1" sqref="E3:E69">
      <formula1>"Yonatan Asmutt"</formula1>
    </dataValidation>
    <dataValidation type="custom" allowBlank="1" showDropDown="1" sqref="B3:B69 G3:G69">
      <formula1>AND(ISNUMBER(B3),(NOT(OR(NOT(ISERROR(DATEVALUE(B3))), AND(ISNUMBER(B3), LEFT(CELL("format", B3))="D")))))</formula1>
    </dataValidation>
    <dataValidation type="list" allowBlank="1" sqref="D3:D69">
      <formula1>"Inspeccionada,Pendiente"</formula1>
    </dataValidation>
    <dataValidation type="list" allowBlank="1" sqref="C3:C69">
      <formula1>"Norte,Sur,Este,Oeste,NorEste,SurEste,NorOeste,SurOeste"</formula1>
    </dataValidation>
    <dataValidation type="list" allowBlank="1" sqref="K3:K69">
      <formula1>"Cadena/Cadena,Cabo/Cabo,Cadena/PM,Cruce sin Roce,S/Cruce"</formula1>
    </dataValidation>
    <dataValidation allowBlank="1" showDropDown="1" sqref="A3:A69 H3:H69 M3:M69"/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75"/>
    <col customWidth="1" min="2" max="2" width="13.0"/>
    <col customWidth="1" min="3" max="3" width="15.13"/>
    <col customWidth="1" min="4" max="4" width="21.5"/>
    <col customWidth="1" min="5" max="5" width="20.25"/>
    <col customWidth="1" min="6" max="6" width="18.75"/>
    <col customWidth="1" min="7" max="7" width="19.25"/>
    <col customWidth="1" min="8" max="8" width="22.0"/>
    <col customWidth="1" min="9" max="9" width="19.5"/>
    <col customWidth="1" min="10" max="10" width="18.63"/>
    <col customWidth="1" min="11" max="12" width="18.0"/>
    <col customWidth="1" min="13" max="13" width="52.13"/>
  </cols>
  <sheetData>
    <row r="1" ht="61.5" customHeight="1">
      <c r="A1" s="32"/>
      <c r="B1" s="4"/>
    </row>
    <row r="2" ht="34.5" customHeight="1">
      <c r="A2" s="5" t="s">
        <v>4</v>
      </c>
      <c r="B2" s="6" t="s">
        <v>5</v>
      </c>
      <c r="C2" s="6" t="s">
        <v>6</v>
      </c>
      <c r="D2" s="7" t="s">
        <v>7</v>
      </c>
      <c r="E2" s="6" t="s">
        <v>8</v>
      </c>
      <c r="F2" s="6" t="s">
        <v>0</v>
      </c>
      <c r="G2" s="6" t="s">
        <v>9</v>
      </c>
      <c r="H2" s="6" t="s">
        <v>10</v>
      </c>
      <c r="I2" s="9" t="s">
        <v>11</v>
      </c>
      <c r="J2" s="9" t="s">
        <v>12</v>
      </c>
      <c r="K2" s="10" t="s">
        <v>13</v>
      </c>
      <c r="L2" s="11" t="s">
        <v>14</v>
      </c>
      <c r="M2" s="12" t="s">
        <v>15</v>
      </c>
    </row>
    <row r="3" ht="22.5" customHeight="1">
      <c r="A3" s="39"/>
      <c r="B3" s="40"/>
      <c r="C3" s="41"/>
      <c r="D3" s="41"/>
      <c r="E3" s="42"/>
      <c r="F3" s="17"/>
      <c r="G3" s="40"/>
      <c r="H3" s="43"/>
      <c r="I3" s="42"/>
      <c r="J3" s="42"/>
      <c r="K3" s="44"/>
      <c r="L3" s="42"/>
      <c r="M3" s="45"/>
    </row>
    <row r="4" ht="22.5" customHeight="1">
      <c r="A4" s="39"/>
      <c r="B4" s="40"/>
      <c r="C4" s="42"/>
      <c r="D4" s="42"/>
      <c r="E4" s="42"/>
      <c r="F4" s="17"/>
      <c r="G4" s="40"/>
      <c r="H4" s="43"/>
      <c r="I4" s="42"/>
      <c r="J4" s="42"/>
      <c r="K4" s="44"/>
      <c r="L4" s="42"/>
      <c r="M4" s="46"/>
    </row>
    <row r="5" ht="22.5" customHeight="1">
      <c r="A5" s="39"/>
      <c r="B5" s="40"/>
      <c r="C5" s="42"/>
      <c r="D5" s="42"/>
      <c r="E5" s="42"/>
      <c r="F5" s="17"/>
      <c r="G5" s="40"/>
      <c r="H5" s="43"/>
      <c r="I5" s="42"/>
      <c r="J5" s="42"/>
      <c r="K5" s="44"/>
      <c r="L5" s="42"/>
      <c r="M5" s="46"/>
    </row>
    <row r="6" ht="22.5" customHeight="1">
      <c r="A6" s="39"/>
      <c r="B6" s="40"/>
      <c r="C6" s="42"/>
      <c r="D6" s="42"/>
      <c r="E6" s="42"/>
      <c r="F6" s="17"/>
      <c r="G6" s="40"/>
      <c r="H6" s="43"/>
      <c r="I6" s="42"/>
      <c r="J6" s="42"/>
      <c r="K6" s="44"/>
      <c r="L6" s="42"/>
      <c r="M6" s="47" t="str">
        <f t="shared" ref="M6:M69" si="1">IF(ISBLANK(E6), "", #REF! &amp; " " &amp; TEXT(E6, "DD-MM-YYYY") &amp; " " &amp; "Centro Martita Australis")</f>
        <v/>
      </c>
    </row>
    <row r="7" ht="22.5" customHeight="1">
      <c r="A7" s="39"/>
      <c r="B7" s="40"/>
      <c r="C7" s="42"/>
      <c r="D7" s="42"/>
      <c r="E7" s="42"/>
      <c r="F7" s="17"/>
      <c r="G7" s="40"/>
      <c r="H7" s="43"/>
      <c r="I7" s="42"/>
      <c r="J7" s="42"/>
      <c r="K7" s="44"/>
      <c r="L7" s="42"/>
      <c r="M7" s="47" t="str">
        <f t="shared" si="1"/>
        <v/>
      </c>
    </row>
    <row r="8" ht="22.5" customHeight="1">
      <c r="A8" s="39"/>
      <c r="B8" s="40"/>
      <c r="C8" s="42"/>
      <c r="D8" s="42"/>
      <c r="E8" s="42"/>
      <c r="F8" s="17"/>
      <c r="G8" s="40"/>
      <c r="H8" s="43"/>
      <c r="I8" s="42"/>
      <c r="J8" s="42"/>
      <c r="K8" s="44"/>
      <c r="L8" s="42"/>
      <c r="M8" s="47" t="str">
        <f t="shared" si="1"/>
        <v/>
      </c>
    </row>
    <row r="9" ht="22.5" customHeight="1">
      <c r="A9" s="39"/>
      <c r="B9" s="40"/>
      <c r="C9" s="42"/>
      <c r="D9" s="42"/>
      <c r="E9" s="42"/>
      <c r="F9" s="17"/>
      <c r="G9" s="40"/>
      <c r="H9" s="43"/>
      <c r="I9" s="42"/>
      <c r="J9" s="42"/>
      <c r="K9" s="44"/>
      <c r="L9" s="42"/>
      <c r="M9" s="47" t="str">
        <f t="shared" si="1"/>
        <v/>
      </c>
    </row>
    <row r="10" ht="22.5" customHeight="1">
      <c r="A10" s="39"/>
      <c r="B10" s="40"/>
      <c r="C10" s="42"/>
      <c r="D10" s="42"/>
      <c r="E10" s="42"/>
      <c r="F10" s="17"/>
      <c r="G10" s="40"/>
      <c r="H10" s="43"/>
      <c r="I10" s="42"/>
      <c r="J10" s="42"/>
      <c r="K10" s="44"/>
      <c r="L10" s="42"/>
      <c r="M10" s="47" t="str">
        <f t="shared" si="1"/>
        <v/>
      </c>
    </row>
    <row r="11" ht="22.5" customHeight="1">
      <c r="A11" s="39"/>
      <c r="B11" s="40"/>
      <c r="C11" s="42"/>
      <c r="D11" s="42"/>
      <c r="E11" s="42"/>
      <c r="F11" s="17"/>
      <c r="G11" s="40"/>
      <c r="H11" s="43"/>
      <c r="I11" s="42"/>
      <c r="J11" s="42"/>
      <c r="K11" s="44"/>
      <c r="L11" s="42"/>
      <c r="M11" s="47" t="str">
        <f t="shared" si="1"/>
        <v/>
      </c>
    </row>
    <row r="12" ht="22.5" customHeight="1">
      <c r="A12" s="39"/>
      <c r="B12" s="40"/>
      <c r="C12" s="42"/>
      <c r="D12" s="42"/>
      <c r="E12" s="42"/>
      <c r="F12" s="17"/>
      <c r="G12" s="40"/>
      <c r="H12" s="43"/>
      <c r="I12" s="42"/>
      <c r="J12" s="42"/>
      <c r="K12" s="44"/>
      <c r="L12" s="42"/>
      <c r="M12" s="47" t="str">
        <f t="shared" si="1"/>
        <v/>
      </c>
    </row>
    <row r="13" ht="22.5" customHeight="1">
      <c r="A13" s="39"/>
      <c r="B13" s="40"/>
      <c r="C13" s="42"/>
      <c r="D13" s="42"/>
      <c r="E13" s="42"/>
      <c r="F13" s="17"/>
      <c r="G13" s="40"/>
      <c r="H13" s="43"/>
      <c r="I13" s="42"/>
      <c r="J13" s="42"/>
      <c r="K13" s="44"/>
      <c r="L13" s="42"/>
      <c r="M13" s="47" t="str">
        <f t="shared" si="1"/>
        <v/>
      </c>
    </row>
    <row r="14" ht="22.5" customHeight="1">
      <c r="A14" s="39"/>
      <c r="B14" s="40"/>
      <c r="C14" s="42"/>
      <c r="D14" s="42"/>
      <c r="E14" s="42"/>
      <c r="F14" s="17"/>
      <c r="G14" s="40"/>
      <c r="H14" s="43"/>
      <c r="I14" s="42"/>
      <c r="J14" s="42"/>
      <c r="K14" s="44"/>
      <c r="L14" s="42"/>
      <c r="M14" s="47" t="str">
        <f t="shared" si="1"/>
        <v/>
      </c>
    </row>
    <row r="15" ht="22.5" customHeight="1">
      <c r="A15" s="39"/>
      <c r="B15" s="40"/>
      <c r="C15" s="42"/>
      <c r="D15" s="42"/>
      <c r="E15" s="42"/>
      <c r="F15" s="17"/>
      <c r="G15" s="40"/>
      <c r="H15" s="43"/>
      <c r="I15" s="42"/>
      <c r="J15" s="42"/>
      <c r="K15" s="44"/>
      <c r="L15" s="42"/>
      <c r="M15" s="47" t="str">
        <f t="shared" si="1"/>
        <v/>
      </c>
    </row>
    <row r="16" ht="22.5" customHeight="1">
      <c r="A16" s="39"/>
      <c r="B16" s="40"/>
      <c r="C16" s="42"/>
      <c r="D16" s="42"/>
      <c r="E16" s="42"/>
      <c r="F16" s="17"/>
      <c r="G16" s="40"/>
      <c r="H16" s="43"/>
      <c r="I16" s="42"/>
      <c r="J16" s="42"/>
      <c r="K16" s="44"/>
      <c r="L16" s="42"/>
      <c r="M16" s="47" t="str">
        <f t="shared" si="1"/>
        <v/>
      </c>
    </row>
    <row r="17" ht="22.5" customHeight="1">
      <c r="A17" s="39"/>
      <c r="B17" s="40"/>
      <c r="C17" s="42"/>
      <c r="D17" s="42"/>
      <c r="E17" s="42"/>
      <c r="F17" s="17"/>
      <c r="G17" s="40"/>
      <c r="H17" s="43"/>
      <c r="I17" s="42"/>
      <c r="J17" s="42"/>
      <c r="K17" s="44"/>
      <c r="L17" s="42"/>
      <c r="M17" s="47" t="str">
        <f t="shared" si="1"/>
        <v/>
      </c>
    </row>
    <row r="18" ht="22.5" customHeight="1">
      <c r="A18" s="39"/>
      <c r="B18" s="40"/>
      <c r="C18" s="42"/>
      <c r="D18" s="42"/>
      <c r="E18" s="42"/>
      <c r="F18" s="17"/>
      <c r="G18" s="40"/>
      <c r="H18" s="43"/>
      <c r="I18" s="42"/>
      <c r="J18" s="42"/>
      <c r="K18" s="44"/>
      <c r="L18" s="42"/>
      <c r="M18" s="47" t="str">
        <f t="shared" si="1"/>
        <v/>
      </c>
    </row>
    <row r="19" ht="22.5" customHeight="1">
      <c r="A19" s="39"/>
      <c r="B19" s="40"/>
      <c r="C19" s="42"/>
      <c r="D19" s="42"/>
      <c r="E19" s="42"/>
      <c r="F19" s="17"/>
      <c r="G19" s="40"/>
      <c r="H19" s="43"/>
      <c r="I19" s="42"/>
      <c r="J19" s="42"/>
      <c r="K19" s="44"/>
      <c r="L19" s="42"/>
      <c r="M19" s="47" t="str">
        <f t="shared" si="1"/>
        <v/>
      </c>
    </row>
    <row r="20" ht="22.5" customHeight="1">
      <c r="A20" s="39"/>
      <c r="B20" s="40"/>
      <c r="C20" s="42"/>
      <c r="D20" s="42"/>
      <c r="E20" s="42"/>
      <c r="F20" s="17"/>
      <c r="G20" s="40"/>
      <c r="H20" s="43"/>
      <c r="I20" s="42"/>
      <c r="J20" s="42"/>
      <c r="K20" s="44"/>
      <c r="L20" s="42"/>
      <c r="M20" s="47" t="str">
        <f t="shared" si="1"/>
        <v/>
      </c>
    </row>
    <row r="21" ht="22.5" customHeight="1">
      <c r="A21" s="39"/>
      <c r="B21" s="40"/>
      <c r="C21" s="42"/>
      <c r="D21" s="42"/>
      <c r="E21" s="42"/>
      <c r="F21" s="17"/>
      <c r="G21" s="40"/>
      <c r="H21" s="43"/>
      <c r="I21" s="42"/>
      <c r="J21" s="42"/>
      <c r="K21" s="44"/>
      <c r="L21" s="42"/>
      <c r="M21" s="47" t="str">
        <f t="shared" si="1"/>
        <v/>
      </c>
    </row>
    <row r="22" ht="22.5" customHeight="1">
      <c r="A22" s="39"/>
      <c r="B22" s="40"/>
      <c r="C22" s="42"/>
      <c r="D22" s="42"/>
      <c r="E22" s="42"/>
      <c r="F22" s="17"/>
      <c r="G22" s="40"/>
      <c r="H22" s="43"/>
      <c r="I22" s="42"/>
      <c r="J22" s="42"/>
      <c r="K22" s="44"/>
      <c r="L22" s="42"/>
      <c r="M22" s="47" t="str">
        <f t="shared" si="1"/>
        <v/>
      </c>
    </row>
    <row r="23" ht="22.5" customHeight="1">
      <c r="A23" s="39"/>
      <c r="B23" s="40"/>
      <c r="C23" s="42"/>
      <c r="D23" s="42"/>
      <c r="E23" s="42"/>
      <c r="F23" s="17"/>
      <c r="G23" s="40"/>
      <c r="H23" s="43"/>
      <c r="I23" s="42"/>
      <c r="J23" s="42"/>
      <c r="K23" s="44"/>
      <c r="L23" s="42"/>
      <c r="M23" s="47" t="str">
        <f t="shared" si="1"/>
        <v/>
      </c>
    </row>
    <row r="24" ht="22.5" customHeight="1">
      <c r="A24" s="39"/>
      <c r="B24" s="40"/>
      <c r="C24" s="42"/>
      <c r="D24" s="42"/>
      <c r="E24" s="42"/>
      <c r="F24" s="17"/>
      <c r="G24" s="40"/>
      <c r="H24" s="43"/>
      <c r="I24" s="42"/>
      <c r="J24" s="42"/>
      <c r="K24" s="44"/>
      <c r="L24" s="42"/>
      <c r="M24" s="47" t="str">
        <f t="shared" si="1"/>
        <v/>
      </c>
    </row>
    <row r="25" ht="22.5" customHeight="1">
      <c r="A25" s="39"/>
      <c r="B25" s="40"/>
      <c r="C25" s="42"/>
      <c r="D25" s="42"/>
      <c r="E25" s="42"/>
      <c r="F25" s="17"/>
      <c r="G25" s="40"/>
      <c r="H25" s="43"/>
      <c r="I25" s="42"/>
      <c r="J25" s="42"/>
      <c r="K25" s="44"/>
      <c r="L25" s="42"/>
      <c r="M25" s="47" t="str">
        <f t="shared" si="1"/>
        <v/>
      </c>
    </row>
    <row r="26" ht="22.5" customHeight="1">
      <c r="A26" s="39"/>
      <c r="B26" s="40"/>
      <c r="C26" s="42"/>
      <c r="D26" s="42"/>
      <c r="E26" s="42"/>
      <c r="F26" s="17"/>
      <c r="G26" s="40"/>
      <c r="H26" s="43"/>
      <c r="I26" s="42"/>
      <c r="J26" s="42"/>
      <c r="K26" s="44"/>
      <c r="L26" s="42"/>
      <c r="M26" s="47" t="str">
        <f t="shared" si="1"/>
        <v/>
      </c>
    </row>
    <row r="27" ht="22.5" customHeight="1">
      <c r="A27" s="39"/>
      <c r="B27" s="40"/>
      <c r="C27" s="42"/>
      <c r="D27" s="42"/>
      <c r="E27" s="42"/>
      <c r="F27" s="17"/>
      <c r="G27" s="40"/>
      <c r="H27" s="43"/>
      <c r="I27" s="42"/>
      <c r="J27" s="42"/>
      <c r="K27" s="44"/>
      <c r="L27" s="42"/>
      <c r="M27" s="47" t="str">
        <f t="shared" si="1"/>
        <v/>
      </c>
    </row>
    <row r="28" ht="22.5" customHeight="1">
      <c r="A28" s="39"/>
      <c r="B28" s="40"/>
      <c r="C28" s="42"/>
      <c r="D28" s="42"/>
      <c r="E28" s="42"/>
      <c r="F28" s="17"/>
      <c r="G28" s="40"/>
      <c r="H28" s="43"/>
      <c r="I28" s="42"/>
      <c r="J28" s="42"/>
      <c r="K28" s="44"/>
      <c r="L28" s="42"/>
      <c r="M28" s="47" t="str">
        <f t="shared" si="1"/>
        <v/>
      </c>
    </row>
    <row r="29" ht="22.5" customHeight="1">
      <c r="A29" s="39"/>
      <c r="B29" s="40"/>
      <c r="C29" s="42"/>
      <c r="D29" s="42"/>
      <c r="E29" s="42"/>
      <c r="F29" s="17"/>
      <c r="G29" s="40"/>
      <c r="H29" s="43"/>
      <c r="I29" s="42"/>
      <c r="J29" s="42"/>
      <c r="K29" s="44"/>
      <c r="L29" s="42"/>
      <c r="M29" s="47" t="str">
        <f t="shared" si="1"/>
        <v/>
      </c>
    </row>
    <row r="30" ht="22.5" customHeight="1">
      <c r="A30" s="39"/>
      <c r="B30" s="40"/>
      <c r="C30" s="42"/>
      <c r="D30" s="42"/>
      <c r="E30" s="42"/>
      <c r="F30" s="17"/>
      <c r="G30" s="40"/>
      <c r="H30" s="43"/>
      <c r="I30" s="42"/>
      <c r="J30" s="42"/>
      <c r="K30" s="44"/>
      <c r="L30" s="42"/>
      <c r="M30" s="47" t="str">
        <f t="shared" si="1"/>
        <v/>
      </c>
    </row>
    <row r="31" ht="22.5" customHeight="1">
      <c r="A31" s="39"/>
      <c r="B31" s="40"/>
      <c r="C31" s="42"/>
      <c r="D31" s="42"/>
      <c r="E31" s="42"/>
      <c r="F31" s="17"/>
      <c r="G31" s="40"/>
      <c r="H31" s="43"/>
      <c r="I31" s="42"/>
      <c r="J31" s="42"/>
      <c r="K31" s="44"/>
      <c r="L31" s="42"/>
      <c r="M31" s="47" t="str">
        <f t="shared" si="1"/>
        <v/>
      </c>
    </row>
    <row r="32" ht="22.5" customHeight="1">
      <c r="A32" s="39"/>
      <c r="B32" s="40"/>
      <c r="C32" s="42"/>
      <c r="D32" s="42"/>
      <c r="E32" s="42"/>
      <c r="F32" s="17"/>
      <c r="G32" s="40"/>
      <c r="H32" s="43"/>
      <c r="I32" s="42"/>
      <c r="J32" s="42"/>
      <c r="K32" s="44"/>
      <c r="L32" s="42"/>
      <c r="M32" s="47" t="str">
        <f t="shared" si="1"/>
        <v/>
      </c>
    </row>
    <row r="33" ht="22.5" customHeight="1">
      <c r="A33" s="39"/>
      <c r="B33" s="40"/>
      <c r="C33" s="42"/>
      <c r="D33" s="42"/>
      <c r="E33" s="42"/>
      <c r="F33" s="17"/>
      <c r="G33" s="40"/>
      <c r="H33" s="43"/>
      <c r="I33" s="42"/>
      <c r="J33" s="42"/>
      <c r="K33" s="44"/>
      <c r="L33" s="42"/>
      <c r="M33" s="47" t="str">
        <f t="shared" si="1"/>
        <v/>
      </c>
    </row>
    <row r="34" ht="22.5" customHeight="1">
      <c r="A34" s="39"/>
      <c r="B34" s="40"/>
      <c r="C34" s="42"/>
      <c r="D34" s="42"/>
      <c r="E34" s="42"/>
      <c r="F34" s="17"/>
      <c r="G34" s="40"/>
      <c r="H34" s="43"/>
      <c r="I34" s="42"/>
      <c r="J34" s="42"/>
      <c r="K34" s="44"/>
      <c r="L34" s="42"/>
      <c r="M34" s="47" t="str">
        <f t="shared" si="1"/>
        <v/>
      </c>
    </row>
    <row r="35" ht="22.5" customHeight="1">
      <c r="A35" s="39"/>
      <c r="B35" s="40"/>
      <c r="C35" s="42"/>
      <c r="D35" s="42"/>
      <c r="E35" s="42"/>
      <c r="F35" s="17"/>
      <c r="G35" s="40"/>
      <c r="H35" s="43"/>
      <c r="I35" s="42"/>
      <c r="J35" s="42"/>
      <c r="K35" s="44"/>
      <c r="L35" s="42"/>
      <c r="M35" s="47" t="str">
        <f t="shared" si="1"/>
        <v/>
      </c>
    </row>
    <row r="36" ht="22.5" customHeight="1">
      <c r="A36" s="39"/>
      <c r="B36" s="40"/>
      <c r="C36" s="42"/>
      <c r="D36" s="42"/>
      <c r="E36" s="42"/>
      <c r="F36" s="17"/>
      <c r="G36" s="40"/>
      <c r="H36" s="43"/>
      <c r="I36" s="42"/>
      <c r="J36" s="42"/>
      <c r="K36" s="44"/>
      <c r="L36" s="42"/>
      <c r="M36" s="47" t="str">
        <f t="shared" si="1"/>
        <v/>
      </c>
    </row>
    <row r="37" ht="22.5" customHeight="1">
      <c r="A37" s="39"/>
      <c r="B37" s="40"/>
      <c r="C37" s="42"/>
      <c r="D37" s="42"/>
      <c r="E37" s="42"/>
      <c r="F37" s="17"/>
      <c r="G37" s="40"/>
      <c r="H37" s="43"/>
      <c r="I37" s="42"/>
      <c r="J37" s="42"/>
      <c r="K37" s="44"/>
      <c r="L37" s="42"/>
      <c r="M37" s="47" t="str">
        <f t="shared" si="1"/>
        <v/>
      </c>
    </row>
    <row r="38" ht="22.5" customHeight="1">
      <c r="A38" s="39"/>
      <c r="B38" s="40"/>
      <c r="C38" s="42"/>
      <c r="D38" s="42"/>
      <c r="E38" s="42"/>
      <c r="F38" s="17"/>
      <c r="G38" s="40"/>
      <c r="H38" s="43"/>
      <c r="I38" s="42"/>
      <c r="J38" s="42"/>
      <c r="K38" s="44"/>
      <c r="L38" s="42"/>
      <c r="M38" s="47" t="str">
        <f t="shared" si="1"/>
        <v/>
      </c>
    </row>
    <row r="39" ht="22.5" customHeight="1">
      <c r="A39" s="39"/>
      <c r="B39" s="40"/>
      <c r="C39" s="42"/>
      <c r="D39" s="42"/>
      <c r="E39" s="42"/>
      <c r="F39" s="17"/>
      <c r="G39" s="40"/>
      <c r="H39" s="43"/>
      <c r="I39" s="42"/>
      <c r="J39" s="42"/>
      <c r="K39" s="44"/>
      <c r="L39" s="42"/>
      <c r="M39" s="47" t="str">
        <f t="shared" si="1"/>
        <v/>
      </c>
    </row>
    <row r="40" ht="22.5" customHeight="1">
      <c r="A40" s="39"/>
      <c r="B40" s="40"/>
      <c r="C40" s="42"/>
      <c r="D40" s="42"/>
      <c r="E40" s="42"/>
      <c r="F40" s="17"/>
      <c r="G40" s="40"/>
      <c r="H40" s="43"/>
      <c r="I40" s="42"/>
      <c r="J40" s="42"/>
      <c r="K40" s="44"/>
      <c r="L40" s="42"/>
      <c r="M40" s="47" t="str">
        <f t="shared" si="1"/>
        <v/>
      </c>
    </row>
    <row r="41" ht="22.5" customHeight="1">
      <c r="A41" s="39"/>
      <c r="B41" s="40"/>
      <c r="C41" s="42"/>
      <c r="D41" s="42"/>
      <c r="E41" s="42"/>
      <c r="F41" s="17"/>
      <c r="G41" s="40"/>
      <c r="H41" s="43"/>
      <c r="I41" s="42"/>
      <c r="J41" s="42"/>
      <c r="K41" s="44"/>
      <c r="L41" s="42"/>
      <c r="M41" s="47" t="str">
        <f t="shared" si="1"/>
        <v/>
      </c>
    </row>
    <row r="42" ht="22.5" customHeight="1">
      <c r="A42" s="39"/>
      <c r="B42" s="40"/>
      <c r="C42" s="42"/>
      <c r="D42" s="42"/>
      <c r="E42" s="42"/>
      <c r="F42" s="17"/>
      <c r="G42" s="40"/>
      <c r="H42" s="43"/>
      <c r="I42" s="42"/>
      <c r="J42" s="42"/>
      <c r="K42" s="44"/>
      <c r="L42" s="42"/>
      <c r="M42" s="47" t="str">
        <f t="shared" si="1"/>
        <v/>
      </c>
    </row>
    <row r="43" ht="22.5" customHeight="1">
      <c r="A43" s="39"/>
      <c r="B43" s="40"/>
      <c r="C43" s="42"/>
      <c r="D43" s="42"/>
      <c r="E43" s="42"/>
      <c r="F43" s="17"/>
      <c r="G43" s="40"/>
      <c r="H43" s="43"/>
      <c r="I43" s="42"/>
      <c r="J43" s="42"/>
      <c r="K43" s="44"/>
      <c r="L43" s="42"/>
      <c r="M43" s="47" t="str">
        <f t="shared" si="1"/>
        <v/>
      </c>
    </row>
    <row r="44" ht="22.5" customHeight="1">
      <c r="A44" s="39"/>
      <c r="B44" s="40"/>
      <c r="C44" s="42"/>
      <c r="D44" s="42"/>
      <c r="E44" s="42"/>
      <c r="F44" s="17"/>
      <c r="G44" s="40"/>
      <c r="H44" s="43"/>
      <c r="I44" s="42"/>
      <c r="J44" s="42"/>
      <c r="K44" s="44"/>
      <c r="L44" s="42"/>
      <c r="M44" s="47" t="str">
        <f t="shared" si="1"/>
        <v/>
      </c>
    </row>
    <row r="45" ht="22.5" customHeight="1">
      <c r="A45" s="39"/>
      <c r="B45" s="40"/>
      <c r="C45" s="42"/>
      <c r="D45" s="42"/>
      <c r="E45" s="42"/>
      <c r="F45" s="17"/>
      <c r="G45" s="40"/>
      <c r="H45" s="43"/>
      <c r="I45" s="42"/>
      <c r="J45" s="42"/>
      <c r="K45" s="44"/>
      <c r="L45" s="42"/>
      <c r="M45" s="47" t="str">
        <f t="shared" si="1"/>
        <v/>
      </c>
    </row>
    <row r="46" ht="22.5" customHeight="1">
      <c r="A46" s="39"/>
      <c r="B46" s="40"/>
      <c r="C46" s="42"/>
      <c r="D46" s="42"/>
      <c r="E46" s="42"/>
      <c r="F46" s="17"/>
      <c r="G46" s="40"/>
      <c r="H46" s="43"/>
      <c r="I46" s="42"/>
      <c r="J46" s="42"/>
      <c r="K46" s="44"/>
      <c r="L46" s="42"/>
      <c r="M46" s="47" t="str">
        <f t="shared" si="1"/>
        <v/>
      </c>
    </row>
    <row r="47" ht="22.5" customHeight="1">
      <c r="A47" s="39"/>
      <c r="B47" s="40"/>
      <c r="C47" s="42"/>
      <c r="D47" s="42"/>
      <c r="E47" s="42"/>
      <c r="F47" s="17"/>
      <c r="G47" s="40"/>
      <c r="H47" s="43"/>
      <c r="I47" s="42"/>
      <c r="J47" s="42"/>
      <c r="K47" s="44"/>
      <c r="L47" s="42"/>
      <c r="M47" s="47" t="str">
        <f t="shared" si="1"/>
        <v/>
      </c>
    </row>
    <row r="48" ht="22.5" customHeight="1">
      <c r="A48" s="39"/>
      <c r="B48" s="40"/>
      <c r="C48" s="42"/>
      <c r="D48" s="42"/>
      <c r="E48" s="42"/>
      <c r="F48" s="17"/>
      <c r="G48" s="40"/>
      <c r="H48" s="43"/>
      <c r="I48" s="42"/>
      <c r="J48" s="42"/>
      <c r="K48" s="44"/>
      <c r="L48" s="42"/>
      <c r="M48" s="47" t="str">
        <f t="shared" si="1"/>
        <v/>
      </c>
    </row>
    <row r="49" ht="22.5" customHeight="1">
      <c r="A49" s="39"/>
      <c r="B49" s="40"/>
      <c r="C49" s="42"/>
      <c r="D49" s="42"/>
      <c r="E49" s="42"/>
      <c r="F49" s="17"/>
      <c r="G49" s="40"/>
      <c r="H49" s="43"/>
      <c r="I49" s="42"/>
      <c r="J49" s="42"/>
      <c r="K49" s="44"/>
      <c r="L49" s="42"/>
      <c r="M49" s="47" t="str">
        <f t="shared" si="1"/>
        <v/>
      </c>
    </row>
    <row r="50" ht="22.5" customHeight="1">
      <c r="A50" s="39"/>
      <c r="B50" s="40"/>
      <c r="C50" s="42"/>
      <c r="D50" s="42"/>
      <c r="E50" s="42"/>
      <c r="F50" s="17"/>
      <c r="G50" s="40"/>
      <c r="H50" s="43"/>
      <c r="I50" s="42"/>
      <c r="J50" s="42"/>
      <c r="K50" s="44"/>
      <c r="L50" s="42"/>
      <c r="M50" s="47" t="str">
        <f t="shared" si="1"/>
        <v/>
      </c>
    </row>
    <row r="51" ht="22.5" customHeight="1">
      <c r="A51" s="39"/>
      <c r="B51" s="40"/>
      <c r="C51" s="42"/>
      <c r="D51" s="42"/>
      <c r="E51" s="42"/>
      <c r="F51" s="17"/>
      <c r="G51" s="40"/>
      <c r="H51" s="43"/>
      <c r="I51" s="42"/>
      <c r="J51" s="42"/>
      <c r="K51" s="44"/>
      <c r="L51" s="42"/>
      <c r="M51" s="47" t="str">
        <f t="shared" si="1"/>
        <v/>
      </c>
    </row>
    <row r="52" ht="22.5" customHeight="1">
      <c r="A52" s="39"/>
      <c r="B52" s="40"/>
      <c r="C52" s="42"/>
      <c r="D52" s="42"/>
      <c r="E52" s="42"/>
      <c r="F52" s="17"/>
      <c r="G52" s="40"/>
      <c r="H52" s="43"/>
      <c r="I52" s="42"/>
      <c r="J52" s="42"/>
      <c r="K52" s="44"/>
      <c r="L52" s="42"/>
      <c r="M52" s="47" t="str">
        <f t="shared" si="1"/>
        <v/>
      </c>
    </row>
    <row r="53" ht="22.5" customHeight="1">
      <c r="A53" s="39"/>
      <c r="B53" s="40"/>
      <c r="C53" s="42"/>
      <c r="D53" s="42"/>
      <c r="E53" s="42"/>
      <c r="F53" s="17"/>
      <c r="G53" s="40"/>
      <c r="H53" s="43"/>
      <c r="I53" s="42"/>
      <c r="J53" s="42"/>
      <c r="K53" s="44"/>
      <c r="L53" s="42"/>
      <c r="M53" s="47" t="str">
        <f t="shared" si="1"/>
        <v/>
      </c>
    </row>
    <row r="54" ht="22.5" customHeight="1">
      <c r="A54" s="39"/>
      <c r="B54" s="40"/>
      <c r="C54" s="42"/>
      <c r="D54" s="42"/>
      <c r="E54" s="42"/>
      <c r="F54" s="17"/>
      <c r="G54" s="40"/>
      <c r="H54" s="43"/>
      <c r="I54" s="42"/>
      <c r="J54" s="42"/>
      <c r="K54" s="44"/>
      <c r="L54" s="42"/>
      <c r="M54" s="47" t="str">
        <f t="shared" si="1"/>
        <v/>
      </c>
    </row>
    <row r="55" ht="22.5" customHeight="1">
      <c r="A55" s="39"/>
      <c r="B55" s="40"/>
      <c r="C55" s="42"/>
      <c r="D55" s="42"/>
      <c r="E55" s="42"/>
      <c r="F55" s="17"/>
      <c r="G55" s="40"/>
      <c r="H55" s="43"/>
      <c r="I55" s="42"/>
      <c r="J55" s="42"/>
      <c r="K55" s="44"/>
      <c r="L55" s="42"/>
      <c r="M55" s="47" t="str">
        <f t="shared" si="1"/>
        <v/>
      </c>
    </row>
    <row r="56" ht="22.5" customHeight="1">
      <c r="A56" s="39"/>
      <c r="B56" s="40"/>
      <c r="C56" s="42"/>
      <c r="D56" s="42"/>
      <c r="E56" s="42"/>
      <c r="F56" s="17"/>
      <c r="G56" s="40"/>
      <c r="H56" s="43"/>
      <c r="I56" s="42"/>
      <c r="J56" s="42"/>
      <c r="K56" s="44"/>
      <c r="L56" s="42"/>
      <c r="M56" s="47" t="str">
        <f t="shared" si="1"/>
        <v/>
      </c>
    </row>
    <row r="57" ht="22.5" customHeight="1">
      <c r="A57" s="39"/>
      <c r="B57" s="40"/>
      <c r="C57" s="42"/>
      <c r="D57" s="42"/>
      <c r="E57" s="42"/>
      <c r="F57" s="17"/>
      <c r="G57" s="40"/>
      <c r="H57" s="43"/>
      <c r="I57" s="42"/>
      <c r="J57" s="42"/>
      <c r="K57" s="44"/>
      <c r="L57" s="42"/>
      <c r="M57" s="47" t="str">
        <f t="shared" si="1"/>
        <v/>
      </c>
    </row>
    <row r="58" ht="22.5" customHeight="1">
      <c r="A58" s="39"/>
      <c r="B58" s="40"/>
      <c r="C58" s="42"/>
      <c r="D58" s="42"/>
      <c r="E58" s="42"/>
      <c r="F58" s="17"/>
      <c r="G58" s="40"/>
      <c r="H58" s="43"/>
      <c r="I58" s="42"/>
      <c r="J58" s="42"/>
      <c r="K58" s="44"/>
      <c r="L58" s="42"/>
      <c r="M58" s="47" t="str">
        <f t="shared" si="1"/>
        <v/>
      </c>
    </row>
    <row r="59" ht="22.5" customHeight="1">
      <c r="A59" s="39"/>
      <c r="B59" s="40"/>
      <c r="C59" s="42"/>
      <c r="D59" s="42"/>
      <c r="E59" s="42"/>
      <c r="F59" s="17"/>
      <c r="G59" s="40"/>
      <c r="H59" s="43"/>
      <c r="I59" s="42"/>
      <c r="J59" s="42"/>
      <c r="K59" s="44"/>
      <c r="L59" s="42"/>
      <c r="M59" s="47" t="str">
        <f t="shared" si="1"/>
        <v/>
      </c>
    </row>
    <row r="60" ht="22.5" customHeight="1">
      <c r="A60" s="39"/>
      <c r="B60" s="40"/>
      <c r="C60" s="42"/>
      <c r="D60" s="42"/>
      <c r="E60" s="42"/>
      <c r="F60" s="17"/>
      <c r="G60" s="40"/>
      <c r="H60" s="43"/>
      <c r="I60" s="42"/>
      <c r="J60" s="42"/>
      <c r="K60" s="44"/>
      <c r="L60" s="42"/>
      <c r="M60" s="47" t="str">
        <f t="shared" si="1"/>
        <v/>
      </c>
    </row>
    <row r="61" ht="22.5" customHeight="1">
      <c r="A61" s="39"/>
      <c r="B61" s="40"/>
      <c r="C61" s="42"/>
      <c r="D61" s="42"/>
      <c r="E61" s="42"/>
      <c r="F61" s="17"/>
      <c r="G61" s="40"/>
      <c r="H61" s="43"/>
      <c r="I61" s="42"/>
      <c r="J61" s="42"/>
      <c r="K61" s="44"/>
      <c r="L61" s="42"/>
      <c r="M61" s="47" t="str">
        <f t="shared" si="1"/>
        <v/>
      </c>
    </row>
    <row r="62" ht="22.5" customHeight="1">
      <c r="A62" s="39"/>
      <c r="B62" s="40"/>
      <c r="C62" s="42"/>
      <c r="D62" s="42"/>
      <c r="E62" s="42"/>
      <c r="F62" s="17"/>
      <c r="G62" s="40"/>
      <c r="H62" s="43"/>
      <c r="I62" s="42"/>
      <c r="J62" s="42"/>
      <c r="K62" s="44"/>
      <c r="L62" s="42"/>
      <c r="M62" s="47" t="str">
        <f t="shared" si="1"/>
        <v/>
      </c>
    </row>
    <row r="63" ht="22.5" customHeight="1">
      <c r="A63" s="39"/>
      <c r="B63" s="40"/>
      <c r="C63" s="42"/>
      <c r="D63" s="42"/>
      <c r="E63" s="42"/>
      <c r="F63" s="17"/>
      <c r="G63" s="40"/>
      <c r="H63" s="43"/>
      <c r="I63" s="42"/>
      <c r="J63" s="42"/>
      <c r="K63" s="44"/>
      <c r="L63" s="42"/>
      <c r="M63" s="47" t="str">
        <f t="shared" si="1"/>
        <v/>
      </c>
    </row>
    <row r="64" ht="22.5" customHeight="1">
      <c r="A64" s="39"/>
      <c r="B64" s="40"/>
      <c r="C64" s="42"/>
      <c r="D64" s="42"/>
      <c r="E64" s="42"/>
      <c r="F64" s="17"/>
      <c r="G64" s="40"/>
      <c r="H64" s="43"/>
      <c r="I64" s="42"/>
      <c r="J64" s="42"/>
      <c r="K64" s="44"/>
      <c r="L64" s="42"/>
      <c r="M64" s="47" t="str">
        <f t="shared" si="1"/>
        <v/>
      </c>
    </row>
    <row r="65" ht="22.5" customHeight="1">
      <c r="A65" s="39"/>
      <c r="B65" s="40"/>
      <c r="C65" s="42"/>
      <c r="D65" s="42"/>
      <c r="E65" s="42"/>
      <c r="F65" s="17"/>
      <c r="G65" s="40"/>
      <c r="H65" s="43"/>
      <c r="I65" s="42"/>
      <c r="J65" s="42"/>
      <c r="K65" s="44"/>
      <c r="L65" s="42"/>
      <c r="M65" s="47" t="str">
        <f t="shared" si="1"/>
        <v/>
      </c>
    </row>
    <row r="66" ht="22.5" customHeight="1">
      <c r="A66" s="39"/>
      <c r="B66" s="40"/>
      <c r="C66" s="42"/>
      <c r="D66" s="42"/>
      <c r="E66" s="42"/>
      <c r="F66" s="17"/>
      <c r="G66" s="40"/>
      <c r="H66" s="43"/>
      <c r="I66" s="42"/>
      <c r="J66" s="42"/>
      <c r="K66" s="44"/>
      <c r="L66" s="42"/>
      <c r="M66" s="47" t="str">
        <f t="shared" si="1"/>
        <v/>
      </c>
    </row>
    <row r="67" ht="22.5" customHeight="1">
      <c r="A67" s="39"/>
      <c r="B67" s="40"/>
      <c r="C67" s="42"/>
      <c r="D67" s="42"/>
      <c r="E67" s="42"/>
      <c r="F67" s="17"/>
      <c r="G67" s="40"/>
      <c r="H67" s="43"/>
      <c r="I67" s="42"/>
      <c r="J67" s="42"/>
      <c r="K67" s="44"/>
      <c r="L67" s="42"/>
      <c r="M67" s="47" t="str">
        <f t="shared" si="1"/>
        <v/>
      </c>
    </row>
    <row r="68" ht="22.5" customHeight="1">
      <c r="A68" s="39"/>
      <c r="B68" s="40"/>
      <c r="C68" s="42"/>
      <c r="D68" s="42"/>
      <c r="E68" s="42"/>
      <c r="F68" s="17"/>
      <c r="G68" s="40"/>
      <c r="H68" s="43"/>
      <c r="I68" s="42"/>
      <c r="J68" s="42"/>
      <c r="K68" s="44"/>
      <c r="L68" s="42"/>
      <c r="M68" s="47" t="str">
        <f t="shared" si="1"/>
        <v/>
      </c>
    </row>
    <row r="69" ht="22.5" customHeight="1">
      <c r="A69" s="39"/>
      <c r="B69" s="40"/>
      <c r="C69" s="42"/>
      <c r="D69" s="42"/>
      <c r="E69" s="42"/>
      <c r="F69" s="17"/>
      <c r="G69" s="40"/>
      <c r="H69" s="43"/>
      <c r="I69" s="42"/>
      <c r="J69" s="42"/>
      <c r="K69" s="44"/>
      <c r="L69" s="42"/>
      <c r="M69" s="47" t="str">
        <f t="shared" si="1"/>
        <v/>
      </c>
    </row>
  </sheetData>
  <mergeCells count="1">
    <mergeCell ref="B1:M1"/>
  </mergeCells>
  <conditionalFormatting sqref="M3:M5">
    <cfRule type="notContainsBlanks" dxfId="5" priority="1">
      <formula>LEN(TRIM(M3))&gt;0</formula>
    </cfRule>
  </conditionalFormatting>
  <conditionalFormatting sqref="B3:B69">
    <cfRule type="cellIs" dxfId="5" priority="2" operator="between">
      <formula>100</formula>
      <formula>1500</formula>
    </cfRule>
  </conditionalFormatting>
  <dataValidations>
    <dataValidation type="list" allowBlank="1" sqref="I3:J69 L3:L69">
      <formula1>"Sí,No"</formula1>
    </dataValidation>
    <dataValidation type="custom" allowBlank="1" showDropDown="1" sqref="F3:F69">
      <formula1>OR(NOT(ISERROR(DATEVALUE(F3))), AND(ISNUMBER(F3), LEFT(CELL("format", F3))="D"))</formula1>
    </dataValidation>
    <dataValidation type="list" allowBlank="1" sqref="E3:E69">
      <formula1>"Yonatan Asmutt"</formula1>
    </dataValidation>
    <dataValidation type="custom" allowBlank="1" showDropDown="1" sqref="B3:B69 G3:G69">
      <formula1>AND(ISNUMBER(B3),(NOT(OR(NOT(ISERROR(DATEVALUE(B3))), AND(ISNUMBER(B3), LEFT(CELL("format", B3))="D")))))</formula1>
    </dataValidation>
    <dataValidation type="list" allowBlank="1" sqref="D3:D69">
      <formula1>"Inspeccionada,Pendiente"</formula1>
    </dataValidation>
    <dataValidation type="list" allowBlank="1" sqref="C3:C69">
      <formula1>"Norte,Sur,Este,Oeste,NorEste,SurEste,NorOeste,SurOeste"</formula1>
    </dataValidation>
    <dataValidation type="list" allowBlank="1" sqref="K3:K69">
      <formula1>"Cadena/Cadena,Cabo/Cabo,Cadena/PM,Cruce sin Roce,S/Cruce"</formula1>
    </dataValidation>
    <dataValidation allowBlank="1" showDropDown="1" sqref="A3:A69 H3:H69 M3:M69"/>
  </dataValidations>
  <drawing r:id="rId2"/>
  <legacyDrawing r:id="rId3"/>
  <tableParts count="1">
    <tablePart r:id="rId5"/>
  </tableParts>
</worksheet>
</file>